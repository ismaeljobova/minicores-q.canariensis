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cores\Qca_Bruto\Minicores-Q.canariensis\"/>
    </mc:Choice>
  </mc:AlternateContent>
  <xr:revisionPtr revIDLastSave="0" documentId="13_ncr:1_{6D6F7C11-7EA0-4D57-8400-69FF8B76740E}" xr6:coauthVersionLast="47" xr6:coauthVersionMax="47" xr10:uidLastSave="{00000000-0000-0000-0000-000000000000}"/>
  <bookViews>
    <workbookView xWindow="28680" yWindow="-705" windowWidth="29040" windowHeight="15720" tabRatio="500" firstSheet="9" activeTab="12" xr2:uid="{00000000-000D-0000-FFFF-FFFF00000000}"/>
  </bookViews>
  <sheets>
    <sheet name="2Feb21" sheetId="1" r:id="rId1"/>
    <sheet name="18Marz2021" sheetId="2" r:id="rId2"/>
    <sheet name="1Abr2021" sheetId="3" r:id="rId3"/>
    <sheet name="15Abr2021" sheetId="4" r:id="rId4"/>
    <sheet name="29Abr21" sheetId="5" r:id="rId5"/>
    <sheet name="13May2021" sheetId="17" r:id="rId6"/>
    <sheet name="27May2021" sheetId="18" r:id="rId7"/>
    <sheet name="10Jun2021" sheetId="6" r:id="rId8"/>
    <sheet name="22Jul2021" sheetId="7" r:id="rId9"/>
    <sheet name="10AGOS_FENO" sheetId="8" r:id="rId10"/>
    <sheet name="26Aug21" sheetId="16" r:id="rId11"/>
    <sheet name="9Sep2021" sheetId="9" r:id="rId12"/>
    <sheet name="14Oct2021" sheetId="10" r:id="rId13"/>
    <sheet name="18Nov2021" sheetId="11" r:id="rId14"/>
    <sheet name="16Dic2021" sheetId="12" r:id="rId15"/>
    <sheet name="19Ene22" sheetId="13" r:id="rId16"/>
    <sheet name="8Feb22" sheetId="14" r:id="rId17"/>
    <sheet name="ray_area" sheetId="15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0" l="1"/>
  <c r="I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" authorId="0" shapeId="0" xr:uid="{00000000-0006-0000-0700-000001000000}">
      <text>
        <r>
          <rPr>
            <sz val="11"/>
            <color rgb="FF000000"/>
            <rFont val="Calibri"/>
            <family val="2"/>
            <charset val="1"/>
          </rPr>
          <t xml:space="preserve">Ismael:
</t>
        </r>
        <r>
          <rPr>
            <sz val="9"/>
            <color rgb="FF000000"/>
            <rFont val="Tahoma"/>
            <family val="2"/>
            <charset val="1"/>
          </rPr>
          <t>SOLO ES PARA DECIR QUE HA INICIADO LA LW</t>
        </r>
      </text>
    </comment>
  </commentList>
</comments>
</file>

<file path=xl/sharedStrings.xml><?xml version="1.0" encoding="utf-8"?>
<sst xmlns="http://schemas.openxmlformats.org/spreadsheetml/2006/main" count="1135" uniqueCount="198">
  <si>
    <t>Finca</t>
  </si>
  <si>
    <t>Plot</t>
  </si>
  <si>
    <t>Tratam</t>
  </si>
  <si>
    <t>indv</t>
  </si>
  <si>
    <t>Especie</t>
  </si>
  <si>
    <t>Codigo</t>
  </si>
  <si>
    <t>N_anillos</t>
  </si>
  <si>
    <t>N_vasos</t>
  </si>
  <si>
    <t>Feret</t>
  </si>
  <si>
    <t>TRW (mm) arriba</t>
  </si>
  <si>
    <t>TRW (mm) centro</t>
  </si>
  <si>
    <t>TRW (mm) Abajo</t>
  </si>
  <si>
    <t>Inicio_EW</t>
  </si>
  <si>
    <t>Gamir</t>
  </si>
  <si>
    <t>Control</t>
  </si>
  <si>
    <t>QUSU</t>
  </si>
  <si>
    <t>QUCA</t>
  </si>
  <si>
    <t>2QcC4F21</t>
  </si>
  <si>
    <t>NO</t>
  </si>
  <si>
    <t>3QcC_4F21</t>
  </si>
  <si>
    <t>5QcC4F21</t>
  </si>
  <si>
    <t>8QcC4F21</t>
  </si>
  <si>
    <t>9QcC4F21</t>
  </si>
  <si>
    <t>10QcC4F21</t>
  </si>
  <si>
    <t>Sequía</t>
  </si>
  <si>
    <t>18QcS4F21</t>
  </si>
  <si>
    <t>19QcS4F21</t>
  </si>
  <si>
    <t>26QcS4F21</t>
  </si>
  <si>
    <t>30QcS4F21</t>
  </si>
  <si>
    <t>36QcC4F21</t>
  </si>
  <si>
    <t>40QcC4F21</t>
  </si>
  <si>
    <t>44QcC4F21</t>
  </si>
  <si>
    <t>47QcS4F21</t>
  </si>
  <si>
    <t>52QcS4F21</t>
  </si>
  <si>
    <t>Árbol</t>
  </si>
  <si>
    <t>2QcC18M21</t>
  </si>
  <si>
    <t>3QcC_18M21</t>
  </si>
  <si>
    <t>SI</t>
  </si>
  <si>
    <t>5QcC18M21</t>
  </si>
  <si>
    <t>8QcC18M21</t>
  </si>
  <si>
    <t>9QcC18M21</t>
  </si>
  <si>
    <t>10QcC18M21</t>
  </si>
  <si>
    <t>18QcS18M21</t>
  </si>
  <si>
    <t>19QcS18M21</t>
  </si>
  <si>
    <t>26QcS18M21</t>
  </si>
  <si>
    <t>30QcS18M21</t>
  </si>
  <si>
    <t>36QcC18M21</t>
  </si>
  <si>
    <t>40QcC18M21</t>
  </si>
  <si>
    <t>44QcC18M21</t>
  </si>
  <si>
    <t>47QcS18M21</t>
  </si>
  <si>
    <t>52QcS18M21</t>
  </si>
  <si>
    <t>Completa_EW</t>
  </si>
  <si>
    <t>Inicio_LW</t>
  </si>
  <si>
    <t>3QcC_1A21</t>
  </si>
  <si>
    <t>5QcC1A21</t>
  </si>
  <si>
    <t>8QcC1A21</t>
  </si>
  <si>
    <t>9QcC1A21</t>
  </si>
  <si>
    <t>10QcC1A21</t>
  </si>
  <si>
    <t>18QcS1A21</t>
  </si>
  <si>
    <t>19QcS1A21</t>
  </si>
  <si>
    <t>26QcS1A21</t>
  </si>
  <si>
    <t>30QcS1A21</t>
  </si>
  <si>
    <t>36QcC1A21</t>
  </si>
  <si>
    <t>40QcC1A21</t>
  </si>
  <si>
    <t>44QcC1A21</t>
  </si>
  <si>
    <t>47QcS1A21</t>
  </si>
  <si>
    <t>2QcC15A21</t>
  </si>
  <si>
    <t>3QcC_15A21</t>
  </si>
  <si>
    <t>8QcC15A21</t>
  </si>
  <si>
    <t>9QcC15A21</t>
  </si>
  <si>
    <t>10QcC15A21</t>
  </si>
  <si>
    <t>18QcS15A21</t>
  </si>
  <si>
    <t>19QcS15A21</t>
  </si>
  <si>
    <t>26QcS15A21</t>
  </si>
  <si>
    <t>30QcS15A21</t>
  </si>
  <si>
    <t>36QcC15A21</t>
  </si>
  <si>
    <t>40QcC15A21</t>
  </si>
  <si>
    <t>47QcS15A21</t>
  </si>
  <si>
    <t>52QcS15A21</t>
  </si>
  <si>
    <t>2QcC29A21</t>
  </si>
  <si>
    <t>3QcC29A21</t>
  </si>
  <si>
    <t>5QcC29A21</t>
  </si>
  <si>
    <t>8QcC29A21</t>
  </si>
  <si>
    <t>9QcC29A21</t>
  </si>
  <si>
    <t>10QcC29A21</t>
  </si>
  <si>
    <t>18QcS29A21</t>
  </si>
  <si>
    <t>19QcS29A21</t>
  </si>
  <si>
    <t>26QcS29A21</t>
  </si>
  <si>
    <t>30QcS29A21</t>
  </si>
  <si>
    <t>36QcC29A21</t>
  </si>
  <si>
    <t>40QcC29A21</t>
  </si>
  <si>
    <t>44QcC29A21</t>
  </si>
  <si>
    <t>47QcS29A21</t>
  </si>
  <si>
    <t>52QcS29A21</t>
  </si>
  <si>
    <t>2QcC10J21</t>
  </si>
  <si>
    <t>3QcC10J21</t>
  </si>
  <si>
    <t>5QcC10J21</t>
  </si>
  <si>
    <t>8QcC10J21</t>
  </si>
  <si>
    <t>9QcC10J21</t>
  </si>
  <si>
    <t>18QcS10J21</t>
  </si>
  <si>
    <t>19QcS10J21</t>
  </si>
  <si>
    <t>30QcS10J21</t>
  </si>
  <si>
    <t>40QcC10J21</t>
  </si>
  <si>
    <t>44QcC10J21</t>
  </si>
  <si>
    <t>47QcS10J21</t>
  </si>
  <si>
    <t>2QcC22J21</t>
  </si>
  <si>
    <t>3QcC22J21</t>
  </si>
  <si>
    <t>5QcC22J21</t>
  </si>
  <si>
    <t>8QcC22J21</t>
  </si>
  <si>
    <t>9QcC22J21</t>
  </si>
  <si>
    <t>10QcC22J21</t>
  </si>
  <si>
    <t>18QcS22J21</t>
  </si>
  <si>
    <t>19QcS22J21</t>
  </si>
  <si>
    <t>26QcS22J21</t>
  </si>
  <si>
    <t>30QcS22J21</t>
  </si>
  <si>
    <t>36QcC22J21</t>
  </si>
  <si>
    <t>40QcC22J21</t>
  </si>
  <si>
    <t>44QcC22J21</t>
  </si>
  <si>
    <t>47QcS22J21</t>
  </si>
  <si>
    <t>52QcS22J21</t>
  </si>
  <si>
    <t>2QcC9S21</t>
  </si>
  <si>
    <t>3QcC9S21</t>
  </si>
  <si>
    <t>5QcC9S21</t>
  </si>
  <si>
    <t>8QcC9S21</t>
  </si>
  <si>
    <t>9QcC9S21</t>
  </si>
  <si>
    <t>10QcC9S21</t>
  </si>
  <si>
    <t>18QcS9S21</t>
  </si>
  <si>
    <t>26QcS9S21</t>
  </si>
  <si>
    <t>30QcS9S21</t>
  </si>
  <si>
    <t>36QcC9S21</t>
  </si>
  <si>
    <t>40QcC9S21</t>
  </si>
  <si>
    <t>44QcC9S21</t>
  </si>
  <si>
    <t>47QcS9S21</t>
  </si>
  <si>
    <t>Completa_LW</t>
  </si>
  <si>
    <t>2QcC14O21</t>
  </si>
  <si>
    <t>3QcC14O21</t>
  </si>
  <si>
    <t>8QcC14O21</t>
  </si>
  <si>
    <t>9QcC14O21</t>
  </si>
  <si>
    <t>10QcC14O21</t>
  </si>
  <si>
    <t>18QcS14O21</t>
  </si>
  <si>
    <t>26QcS14O21</t>
  </si>
  <si>
    <t>30QcS14O21</t>
  </si>
  <si>
    <t>36QcC14O21</t>
  </si>
  <si>
    <t>40QcC14O21</t>
  </si>
  <si>
    <t>47QcS14O21</t>
  </si>
  <si>
    <t>2QcC18N21</t>
  </si>
  <si>
    <t>3QcC18N21</t>
  </si>
  <si>
    <t>8QcC18N21</t>
  </si>
  <si>
    <t>9QcC18N21</t>
  </si>
  <si>
    <t>18QcS18N21</t>
  </si>
  <si>
    <t>19QcS18N21</t>
  </si>
  <si>
    <t>30QcS18N21</t>
  </si>
  <si>
    <t>36QcC18N21</t>
  </si>
  <si>
    <t>40QcC18N21</t>
  </si>
  <si>
    <t>47QcS18N21</t>
  </si>
  <si>
    <t>2QcC16D21</t>
  </si>
  <si>
    <t>3QcC16D21</t>
  </si>
  <si>
    <t>8QcC16D21</t>
  </si>
  <si>
    <t>10QcC16D21</t>
  </si>
  <si>
    <t>18QcC16D21</t>
  </si>
  <si>
    <t>19QcC16D21</t>
  </si>
  <si>
    <t>30QcC16D21</t>
  </si>
  <si>
    <t>44QcC16D21</t>
  </si>
  <si>
    <t>47QcC16D21</t>
  </si>
  <si>
    <t>52QcC16D21</t>
  </si>
  <si>
    <t>2QcC19E22</t>
  </si>
  <si>
    <t>3QcC19E22</t>
  </si>
  <si>
    <t>5QcC19E22</t>
  </si>
  <si>
    <t>9QcC19E22</t>
  </si>
  <si>
    <t>10QcC19E22</t>
  </si>
  <si>
    <t>18QcS19E22</t>
  </si>
  <si>
    <t>19QcS19E22</t>
  </si>
  <si>
    <t>30QcS19E22</t>
  </si>
  <si>
    <t>36QcC19E22</t>
  </si>
  <si>
    <t>40QcC19E22</t>
  </si>
  <si>
    <t>44QcC19E22</t>
  </si>
  <si>
    <t>47QcS19E22</t>
  </si>
  <si>
    <t>52QcS19E22</t>
  </si>
  <si>
    <t>2QcC2F22</t>
  </si>
  <si>
    <t>3QcC2F22</t>
  </si>
  <si>
    <t>5QcC2F22</t>
  </si>
  <si>
    <t>8QcC2F22</t>
  </si>
  <si>
    <t>9QcC2F22</t>
  </si>
  <si>
    <t>10QcC2F22</t>
  </si>
  <si>
    <t>18QcS2F22</t>
  </si>
  <si>
    <t>19QcS2F22</t>
  </si>
  <si>
    <t>26QcS2F22</t>
  </si>
  <si>
    <t>30QcS2F22</t>
  </si>
  <si>
    <t>36QcC2F22</t>
  </si>
  <si>
    <t>40QcC2F22</t>
  </si>
  <si>
    <t>44QcC2F22</t>
  </si>
  <si>
    <t>47QcS2F22</t>
  </si>
  <si>
    <t>52QcS2F22</t>
  </si>
  <si>
    <t>Ray_2020</t>
  </si>
  <si>
    <t>Ray_2021</t>
  </si>
  <si>
    <t>Area</t>
  </si>
  <si>
    <t>2QcC_1A21</t>
  </si>
  <si>
    <t>2020_TRW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</si>
</sst>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BDD6EE"/>
        <bgColor rgb="FFC5E0B4"/>
      </patternFill>
    </fill>
    <fill>
      <patternFill patternType="solid">
        <fgColor rgb="FFFF3300"/>
        <bgColor rgb="FFFF0000"/>
      </patternFill>
    </fill>
    <fill>
      <patternFill patternType="solid">
        <fgColor rgb="FF92D050"/>
        <bgColor rgb="FFC5E0B4"/>
      </patternFill>
    </fill>
    <fill>
      <patternFill patternType="solid">
        <fgColor rgb="FFC5E0B4"/>
        <bgColor rgb="FFBDD6EE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FF3300"/>
      </patternFill>
    </fill>
    <fill>
      <patternFill patternType="solid">
        <fgColor rgb="FFFFD966"/>
        <bgColor rgb="FFFFFF99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5E0B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0" fillId="0" borderId="1" xfId="0" applyBorder="1"/>
    <xf numFmtId="0" fontId="3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0" fillId="5" borderId="0" xfId="0" applyFill="1" applyAlignment="1">
      <alignment wrapText="1"/>
    </xf>
    <xf numFmtId="0" fontId="0" fillId="0" borderId="3" xfId="0" applyFont="1" applyBorder="1" applyAlignment="1">
      <alignment wrapText="1"/>
    </xf>
    <xf numFmtId="0" fontId="0" fillId="0" borderId="0" xfId="0" applyFont="1" applyBorder="1" applyAlignment="1">
      <alignment horizontal="center" vertical="center" wrapText="1"/>
    </xf>
    <xf numFmtId="0" fontId="0" fillId="0" borderId="2" xfId="0" applyBorder="1"/>
    <xf numFmtId="0" fontId="2" fillId="6" borderId="0" xfId="0" applyFont="1" applyFill="1" applyAlignment="1">
      <alignment horizontal="center" wrapText="1"/>
    </xf>
    <xf numFmtId="0" fontId="0" fillId="7" borderId="0" xfId="0" applyFill="1" applyAlignment="1">
      <alignment wrapText="1"/>
    </xf>
    <xf numFmtId="0" fontId="0" fillId="7" borderId="2" xfId="0" applyFont="1" applyFill="1" applyBorder="1" applyAlignment="1">
      <alignment wrapText="1"/>
    </xf>
    <xf numFmtId="0" fontId="4" fillId="8" borderId="2" xfId="0" applyFont="1" applyFill="1" applyBorder="1" applyAlignment="1">
      <alignment vertical="center" wrapText="1"/>
    </xf>
    <xf numFmtId="0" fontId="0" fillId="9" borderId="0" xfId="0" applyFill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0" borderId="3" xfId="0" applyBorder="1"/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2" fillId="6" borderId="3" xfId="0" applyFont="1" applyFill="1" applyBorder="1" applyAlignment="1">
      <alignment horizontal="center" wrapText="1"/>
    </xf>
    <xf numFmtId="0" fontId="0" fillId="7" borderId="3" xfId="0" applyFill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10" borderId="0" xfId="0" applyFill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1" fillId="10" borderId="4" xfId="0" applyFont="1" applyFill="1" applyBorder="1" applyAlignment="1">
      <alignment wrapText="1"/>
    </xf>
    <xf numFmtId="0" fontId="1" fillId="10" borderId="5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0" fontId="3" fillId="10" borderId="0" xfId="0" applyFont="1" applyFill="1" applyAlignment="1">
      <alignment horizontal="center" wrapText="1"/>
    </xf>
    <xf numFmtId="0" fontId="0" fillId="10" borderId="3" xfId="0" applyFill="1" applyBorder="1"/>
    <xf numFmtId="0" fontId="5" fillId="10" borderId="2" xfId="0" applyFont="1" applyFill="1" applyBorder="1" applyAlignment="1">
      <alignment horizontal="center" wrapText="1"/>
    </xf>
    <xf numFmtId="0" fontId="5" fillId="10" borderId="2" xfId="0" applyFont="1" applyFill="1" applyBorder="1" applyAlignment="1">
      <alignment horizontal="center"/>
    </xf>
    <xf numFmtId="0" fontId="0" fillId="10" borderId="3" xfId="0" applyFont="1" applyFill="1" applyBorder="1" applyAlignment="1">
      <alignment wrapText="1"/>
    </xf>
    <xf numFmtId="0" fontId="0" fillId="10" borderId="0" xfId="0" applyFill="1" applyAlignment="1">
      <alignment wrapText="1"/>
    </xf>
    <xf numFmtId="0" fontId="0" fillId="10" borderId="11" xfId="0" applyFill="1" applyBorder="1" applyAlignment="1">
      <alignment wrapText="1"/>
    </xf>
    <xf numFmtId="0" fontId="0" fillId="10" borderId="3" xfId="0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4" fillId="10" borderId="11" xfId="0" applyFont="1" applyFill="1" applyBorder="1" applyAlignment="1">
      <alignment vertical="center" wrapText="1"/>
    </xf>
    <xf numFmtId="0" fontId="0" fillId="10" borderId="3" xfId="0" applyFill="1" applyBorder="1" applyAlignment="1">
      <alignment wrapText="1"/>
    </xf>
    <xf numFmtId="0" fontId="0" fillId="7" borderId="3" xfId="0" applyFont="1" applyFill="1" applyBorder="1"/>
    <xf numFmtId="0" fontId="0" fillId="7" borderId="3" xfId="0" applyFill="1" applyBorder="1" applyAlignment="1">
      <alignment vertical="center" wrapText="1"/>
    </xf>
    <xf numFmtId="0" fontId="0" fillId="0" borderId="3" xfId="0" applyFont="1" applyBorder="1"/>
    <xf numFmtId="0" fontId="0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3" xfId="0" applyFill="1" applyBorder="1"/>
    <xf numFmtId="0" fontId="0" fillId="0" borderId="0" xfId="0" applyFill="1"/>
    <xf numFmtId="0" fontId="0" fillId="0" borderId="3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3" xfId="0" applyFill="1" applyBorder="1" applyAlignment="1">
      <alignment wrapText="1"/>
    </xf>
    <xf numFmtId="0" fontId="0" fillId="0" borderId="3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wrapText="1"/>
    </xf>
    <xf numFmtId="11" fontId="0" fillId="0" borderId="0" xfId="0" applyNumberFormat="1"/>
    <xf numFmtId="0" fontId="0" fillId="12" borderId="0" xfId="0" applyFill="1"/>
    <xf numFmtId="0" fontId="0" fillId="12" borderId="11" xfId="0" applyFill="1" applyBorder="1" applyAlignment="1">
      <alignment wrapText="1"/>
    </xf>
    <xf numFmtId="0" fontId="3" fillId="13" borderId="0" xfId="0" applyFont="1" applyFill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0" fontId="0" fillId="12" borderId="3" xfId="0" applyFont="1" applyFill="1" applyBorder="1" applyAlignment="1">
      <alignment wrapText="1"/>
    </xf>
    <xf numFmtId="0" fontId="2" fillId="14" borderId="3" xfId="0" applyFont="1" applyFill="1" applyBorder="1" applyAlignment="1">
      <alignment horizontal="center" wrapText="1"/>
    </xf>
    <xf numFmtId="0" fontId="0" fillId="12" borderId="2" xfId="0" applyFont="1" applyFill="1" applyBorder="1" applyAlignment="1">
      <alignment wrapText="1"/>
    </xf>
    <xf numFmtId="0" fontId="5" fillId="12" borderId="2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0" fillId="0" borderId="2" xfId="0" applyFont="1" applyFill="1" applyBorder="1" applyAlignment="1">
      <alignment wrapText="1"/>
    </xf>
    <xf numFmtId="0" fontId="0" fillId="12" borderId="3" xfId="0" applyFont="1" applyFill="1" applyBorder="1" applyAlignment="1">
      <alignment vertical="center" wrapText="1"/>
    </xf>
    <xf numFmtId="0" fontId="0" fillId="12" borderId="2" xfId="0" applyFont="1" applyFill="1" applyBorder="1" applyAlignment="1">
      <alignment vertical="center" wrapText="1"/>
    </xf>
    <xf numFmtId="0" fontId="0" fillId="12" borderId="3" xfId="0" applyFill="1" applyBorder="1"/>
    <xf numFmtId="0" fontId="5" fillId="0" borderId="2" xfId="0" applyFont="1" applyFill="1" applyBorder="1" applyAlignment="1">
      <alignment horizontal="center" wrapText="1"/>
    </xf>
    <xf numFmtId="0" fontId="0" fillId="0" borderId="11" xfId="0" applyFill="1" applyBorder="1" applyAlignment="1">
      <alignment wrapText="1"/>
    </xf>
    <xf numFmtId="0" fontId="2" fillId="15" borderId="0" xfId="0" applyFont="1" applyFill="1" applyAlignment="1">
      <alignment horizontal="center" wrapText="1"/>
    </xf>
    <xf numFmtId="0" fontId="3" fillId="1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000"/>
      <rgbColor rgb="FFFF9900"/>
      <rgbColor rgb="FFFF33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zoomScale="90" zoomScaleNormal="90" workbookViewId="0">
      <selection activeCell="J5" sqref="J5"/>
    </sheetView>
  </sheetViews>
  <sheetFormatPr baseColWidth="10" defaultColWidth="8.5703125" defaultRowHeight="15" x14ac:dyDescent="0.25"/>
  <cols>
    <col min="6" max="6" width="11.28515625" customWidth="1"/>
    <col min="12" max="12" width="8.85546875" customWidth="1"/>
    <col min="1017" max="1024" width="9.140625" customWidth="1"/>
  </cols>
  <sheetData>
    <row r="1" spans="1:18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195</v>
      </c>
      <c r="N1" s="2" t="s">
        <v>12</v>
      </c>
    </row>
    <row r="2" spans="1:18" x14ac:dyDescent="0.25">
      <c r="A2" s="3" t="s">
        <v>13</v>
      </c>
      <c r="B2" s="3">
        <v>1</v>
      </c>
      <c r="C2" s="4" t="s">
        <v>14</v>
      </c>
      <c r="D2" s="5">
        <v>1</v>
      </c>
      <c r="E2" s="3" t="s">
        <v>15</v>
      </c>
      <c r="N2" s="6"/>
    </row>
    <row r="3" spans="1:18" ht="15" customHeight="1" x14ac:dyDescent="0.25">
      <c r="A3" s="3" t="s">
        <v>13</v>
      </c>
      <c r="B3" s="3">
        <v>1</v>
      </c>
      <c r="C3" s="4" t="s">
        <v>14</v>
      </c>
      <c r="D3" s="7">
        <v>2</v>
      </c>
      <c r="E3" s="3" t="s">
        <v>16</v>
      </c>
      <c r="F3" s="3" t="s">
        <v>17</v>
      </c>
      <c r="G3" s="8">
        <v>6</v>
      </c>
      <c r="H3" s="8">
        <v>42</v>
      </c>
      <c r="I3" s="8"/>
      <c r="J3" s="8">
        <v>2.34</v>
      </c>
      <c r="K3" s="8">
        <v>2.0569999999999999</v>
      </c>
      <c r="L3" s="8">
        <v>1.9790000000000001</v>
      </c>
      <c r="M3" s="8">
        <v>1.71</v>
      </c>
      <c r="N3" s="9" t="s">
        <v>18</v>
      </c>
    </row>
    <row r="4" spans="1:18" ht="15" customHeight="1" x14ac:dyDescent="0.25">
      <c r="A4" s="3" t="s">
        <v>13</v>
      </c>
      <c r="B4" s="3">
        <v>1</v>
      </c>
      <c r="C4" s="4" t="s">
        <v>14</v>
      </c>
      <c r="D4" s="7">
        <v>3</v>
      </c>
      <c r="E4" s="3" t="s">
        <v>16</v>
      </c>
      <c r="F4" s="10" t="s">
        <v>19</v>
      </c>
      <c r="G4" s="11">
        <v>6</v>
      </c>
      <c r="H4" s="8">
        <v>49</v>
      </c>
      <c r="I4" s="8"/>
      <c r="J4" s="8">
        <v>2.62</v>
      </c>
      <c r="K4" s="8">
        <v>2.58</v>
      </c>
      <c r="L4" s="8">
        <v>2.5099999999999998</v>
      </c>
      <c r="M4" s="8">
        <v>2.76</v>
      </c>
      <c r="N4" s="12" t="s">
        <v>18</v>
      </c>
      <c r="R4" s="13"/>
    </row>
    <row r="5" spans="1:18" ht="15" customHeight="1" x14ac:dyDescent="0.25">
      <c r="A5" s="3" t="s">
        <v>13</v>
      </c>
      <c r="B5" s="3">
        <v>1</v>
      </c>
      <c r="C5" s="4" t="s">
        <v>14</v>
      </c>
      <c r="D5" s="7">
        <v>5</v>
      </c>
      <c r="E5" s="3" t="s">
        <v>16</v>
      </c>
      <c r="F5" s="3" t="s">
        <v>20</v>
      </c>
      <c r="G5" s="11">
        <v>6</v>
      </c>
      <c r="H5" s="8">
        <v>64</v>
      </c>
      <c r="I5" s="8"/>
      <c r="J5" s="8">
        <v>1.44</v>
      </c>
      <c r="K5" s="8">
        <v>1.42</v>
      </c>
      <c r="L5" s="8">
        <v>1.49</v>
      </c>
      <c r="M5" s="8">
        <v>1.79</v>
      </c>
      <c r="N5" s="9" t="s">
        <v>18</v>
      </c>
    </row>
    <row r="6" spans="1:18" ht="14.25" customHeight="1" x14ac:dyDescent="0.25">
      <c r="A6" s="3" t="s">
        <v>13</v>
      </c>
      <c r="B6" s="3">
        <v>1</v>
      </c>
      <c r="C6" s="4" t="s">
        <v>14</v>
      </c>
      <c r="D6" s="5">
        <v>6</v>
      </c>
      <c r="E6" s="3" t="s">
        <v>15</v>
      </c>
      <c r="N6" s="14"/>
    </row>
    <row r="7" spans="1:18" x14ac:dyDescent="0.25">
      <c r="A7" s="3" t="s">
        <v>13</v>
      </c>
      <c r="B7" s="3">
        <v>1</v>
      </c>
      <c r="C7" s="4" t="s">
        <v>14</v>
      </c>
      <c r="D7" s="5">
        <v>7</v>
      </c>
      <c r="E7" s="3" t="s">
        <v>15</v>
      </c>
      <c r="F7" s="3"/>
      <c r="G7" s="8"/>
      <c r="H7" s="8"/>
      <c r="I7" s="8"/>
      <c r="J7" s="8"/>
      <c r="K7" s="8"/>
      <c r="L7" s="8"/>
      <c r="M7" s="8"/>
      <c r="N7" s="9"/>
    </row>
    <row r="8" spans="1:18" x14ac:dyDescent="0.25">
      <c r="A8" s="3" t="s">
        <v>13</v>
      </c>
      <c r="B8" s="3">
        <v>2</v>
      </c>
      <c r="C8" s="4" t="s">
        <v>14</v>
      </c>
      <c r="D8" s="7">
        <v>8</v>
      </c>
      <c r="E8" s="3" t="s">
        <v>16</v>
      </c>
      <c r="F8" s="3" t="s">
        <v>21</v>
      </c>
      <c r="G8" s="11">
        <v>6</v>
      </c>
      <c r="H8" s="8">
        <v>19</v>
      </c>
      <c r="I8" s="8"/>
      <c r="J8" s="8">
        <v>0.4</v>
      </c>
      <c r="K8" s="8">
        <v>0.41</v>
      </c>
      <c r="L8" s="8">
        <v>0.36</v>
      </c>
      <c r="M8" s="8">
        <v>0.59</v>
      </c>
      <c r="N8" s="9" t="s">
        <v>18</v>
      </c>
    </row>
    <row r="9" spans="1:18" ht="14.25" customHeight="1" x14ac:dyDescent="0.25">
      <c r="A9" s="3" t="s">
        <v>13</v>
      </c>
      <c r="B9" s="3">
        <v>2</v>
      </c>
      <c r="C9" s="4" t="s">
        <v>14</v>
      </c>
      <c r="D9" s="7">
        <v>9</v>
      </c>
      <c r="E9" s="3" t="s">
        <v>16</v>
      </c>
      <c r="F9" s="3" t="s">
        <v>22</v>
      </c>
      <c r="G9" s="8">
        <v>7</v>
      </c>
      <c r="H9" s="8">
        <v>58</v>
      </c>
      <c r="I9" s="8"/>
      <c r="J9" s="8">
        <v>0.77</v>
      </c>
      <c r="K9" s="8">
        <v>0.8</v>
      </c>
      <c r="L9" s="8">
        <v>0.75</v>
      </c>
      <c r="M9" s="8">
        <v>0.65</v>
      </c>
      <c r="N9" s="9" t="s">
        <v>18</v>
      </c>
    </row>
    <row r="10" spans="1:18" ht="15" customHeight="1" x14ac:dyDescent="0.25">
      <c r="A10" s="3" t="s">
        <v>13</v>
      </c>
      <c r="B10" s="3">
        <v>2</v>
      </c>
      <c r="C10" s="4" t="s">
        <v>14</v>
      </c>
      <c r="D10" s="7">
        <v>10</v>
      </c>
      <c r="E10" s="3" t="s">
        <v>16</v>
      </c>
      <c r="F10" s="3" t="s">
        <v>23</v>
      </c>
      <c r="G10" s="8">
        <v>16</v>
      </c>
      <c r="H10" s="8">
        <v>19</v>
      </c>
      <c r="I10" s="8"/>
      <c r="J10" s="8">
        <v>0.6</v>
      </c>
      <c r="K10" s="8">
        <v>0.65</v>
      </c>
      <c r="L10" s="8">
        <v>0.64</v>
      </c>
      <c r="M10" s="8">
        <v>0.59</v>
      </c>
      <c r="N10" s="9" t="s">
        <v>18</v>
      </c>
    </row>
    <row r="11" spans="1:18" ht="14.25" customHeight="1" x14ac:dyDescent="0.25">
      <c r="A11" s="3" t="s">
        <v>13</v>
      </c>
      <c r="B11" s="3">
        <v>2</v>
      </c>
      <c r="C11" s="4" t="s">
        <v>14</v>
      </c>
      <c r="D11" s="5">
        <v>11</v>
      </c>
      <c r="E11" s="3" t="s">
        <v>15</v>
      </c>
      <c r="F11" s="3"/>
      <c r="G11" s="8"/>
      <c r="H11" s="8"/>
      <c r="I11" s="8"/>
      <c r="J11" s="8"/>
      <c r="K11" s="8"/>
      <c r="L11" s="8"/>
      <c r="M11" s="8"/>
      <c r="N11" s="9"/>
    </row>
    <row r="12" spans="1:18" x14ac:dyDescent="0.25">
      <c r="A12" s="3" t="s">
        <v>13</v>
      </c>
      <c r="B12" s="3">
        <v>2</v>
      </c>
      <c r="C12" s="4" t="s">
        <v>14</v>
      </c>
      <c r="D12" s="5">
        <v>13</v>
      </c>
      <c r="E12" s="3" t="s">
        <v>15</v>
      </c>
      <c r="F12" s="3"/>
      <c r="G12" s="8"/>
      <c r="H12" s="8"/>
      <c r="I12" s="8"/>
      <c r="J12" s="8"/>
      <c r="K12" s="8"/>
      <c r="L12" s="8"/>
      <c r="M12" s="8"/>
      <c r="N12" s="9"/>
    </row>
    <row r="13" spans="1:18" x14ac:dyDescent="0.25">
      <c r="A13" s="3" t="s">
        <v>13</v>
      </c>
      <c r="B13" s="3">
        <v>2</v>
      </c>
      <c r="C13" s="4" t="s">
        <v>14</v>
      </c>
      <c r="D13" s="5">
        <v>14</v>
      </c>
      <c r="E13" s="3" t="s">
        <v>15</v>
      </c>
      <c r="F13" s="3"/>
      <c r="G13" s="8"/>
      <c r="H13" s="8"/>
      <c r="I13" s="8"/>
      <c r="J13" s="8"/>
      <c r="K13" s="8"/>
      <c r="L13" s="8"/>
      <c r="M13" s="8"/>
      <c r="N13" s="9"/>
    </row>
    <row r="14" spans="1:18" x14ac:dyDescent="0.25">
      <c r="A14" s="3" t="s">
        <v>13</v>
      </c>
      <c r="B14" s="3">
        <v>3</v>
      </c>
      <c r="C14" s="15" t="s">
        <v>24</v>
      </c>
      <c r="D14" s="5">
        <v>17</v>
      </c>
      <c r="E14" s="3" t="s">
        <v>15</v>
      </c>
      <c r="F14" s="3"/>
      <c r="G14" s="8"/>
      <c r="H14" s="8"/>
      <c r="I14" s="8"/>
      <c r="J14" s="8"/>
      <c r="K14" s="8"/>
      <c r="L14" s="8"/>
      <c r="M14" s="8"/>
      <c r="N14" s="9"/>
    </row>
    <row r="15" spans="1:18" x14ac:dyDescent="0.25">
      <c r="A15" s="3" t="s">
        <v>13</v>
      </c>
      <c r="B15" s="3">
        <v>3</v>
      </c>
      <c r="C15" s="15" t="s">
        <v>24</v>
      </c>
      <c r="D15" s="7">
        <v>18</v>
      </c>
      <c r="E15" s="3" t="s">
        <v>16</v>
      </c>
      <c r="F15" s="3" t="s">
        <v>25</v>
      </c>
      <c r="G15" s="8">
        <v>11</v>
      </c>
      <c r="H15" s="8">
        <v>36</v>
      </c>
      <c r="I15" s="8"/>
      <c r="J15" s="8">
        <v>1.65</v>
      </c>
      <c r="K15" s="8">
        <v>1.7</v>
      </c>
      <c r="L15" s="8">
        <v>1.62</v>
      </c>
      <c r="M15" s="8">
        <v>1.95</v>
      </c>
      <c r="N15" s="9" t="s">
        <v>18</v>
      </c>
    </row>
    <row r="16" spans="1:18" ht="14.25" customHeight="1" x14ac:dyDescent="0.25">
      <c r="A16" s="3" t="s">
        <v>13</v>
      </c>
      <c r="B16" s="3">
        <v>3</v>
      </c>
      <c r="C16" s="15" t="s">
        <v>24</v>
      </c>
      <c r="D16" s="7">
        <v>19</v>
      </c>
      <c r="E16" s="3" t="s">
        <v>16</v>
      </c>
      <c r="F16" s="3" t="s">
        <v>26</v>
      </c>
      <c r="G16" s="8">
        <v>5</v>
      </c>
      <c r="H16" s="8">
        <v>72</v>
      </c>
      <c r="I16" s="8"/>
      <c r="J16" s="8">
        <v>2.5299999999999998</v>
      </c>
      <c r="K16" s="8">
        <v>2.72</v>
      </c>
      <c r="L16" s="8">
        <v>2.69</v>
      </c>
      <c r="M16" s="8">
        <v>3.56</v>
      </c>
      <c r="N16" s="9" t="s">
        <v>18</v>
      </c>
    </row>
    <row r="17" spans="1:14" ht="14.25" customHeight="1" x14ac:dyDescent="0.25">
      <c r="A17" s="3" t="s">
        <v>13</v>
      </c>
      <c r="B17" s="3">
        <v>3</v>
      </c>
      <c r="C17" s="15" t="s">
        <v>24</v>
      </c>
      <c r="D17" s="5">
        <v>20</v>
      </c>
      <c r="E17" s="3" t="s">
        <v>15</v>
      </c>
      <c r="F17" s="3"/>
      <c r="G17" s="8"/>
      <c r="H17" s="8"/>
      <c r="I17" s="8"/>
      <c r="N17" s="14"/>
    </row>
    <row r="18" spans="1:14" x14ac:dyDescent="0.25">
      <c r="A18" s="3" t="s">
        <v>13</v>
      </c>
      <c r="B18" s="3">
        <v>4</v>
      </c>
      <c r="C18" s="15" t="s">
        <v>24</v>
      </c>
      <c r="D18" s="5">
        <v>23</v>
      </c>
      <c r="E18" s="3" t="s">
        <v>15</v>
      </c>
      <c r="F18" s="3"/>
      <c r="G18" s="8"/>
      <c r="H18" s="8"/>
      <c r="I18" s="8"/>
      <c r="J18" s="8"/>
      <c r="K18" s="8"/>
      <c r="L18" s="8"/>
      <c r="M18" s="8"/>
      <c r="N18" s="9"/>
    </row>
    <row r="19" spans="1:14" x14ac:dyDescent="0.25">
      <c r="A19" s="3" t="s">
        <v>13</v>
      </c>
      <c r="B19" s="3">
        <v>4</v>
      </c>
      <c r="C19" s="15" t="s">
        <v>24</v>
      </c>
      <c r="D19" s="7">
        <v>26</v>
      </c>
      <c r="E19" s="3" t="s">
        <v>16</v>
      </c>
      <c r="F19" s="3" t="s">
        <v>27</v>
      </c>
      <c r="G19" s="8">
        <v>10</v>
      </c>
      <c r="H19" s="8">
        <v>35</v>
      </c>
      <c r="I19" s="8"/>
      <c r="J19" s="8">
        <v>0.84</v>
      </c>
      <c r="K19" s="8">
        <v>0.87</v>
      </c>
      <c r="L19" s="8">
        <v>0.9</v>
      </c>
      <c r="M19" s="8">
        <v>1.3</v>
      </c>
      <c r="N19" s="9" t="s">
        <v>18</v>
      </c>
    </row>
    <row r="20" spans="1:14" ht="14.25" customHeight="1" x14ac:dyDescent="0.25">
      <c r="A20" s="3" t="s">
        <v>13</v>
      </c>
      <c r="B20" s="3">
        <v>4</v>
      </c>
      <c r="C20" s="15" t="s">
        <v>24</v>
      </c>
      <c r="D20" s="7">
        <v>30</v>
      </c>
      <c r="E20" s="3" t="s">
        <v>16</v>
      </c>
      <c r="F20" s="3" t="s">
        <v>28</v>
      </c>
      <c r="G20" s="8">
        <v>6</v>
      </c>
      <c r="H20" s="8">
        <v>58</v>
      </c>
      <c r="I20" s="8"/>
      <c r="J20" s="8">
        <v>2.41</v>
      </c>
      <c r="K20" s="8">
        <v>2.5499999999999998</v>
      </c>
      <c r="L20" s="8">
        <v>2.62</v>
      </c>
      <c r="M20" s="8">
        <v>2.65</v>
      </c>
      <c r="N20" s="9" t="s">
        <v>18</v>
      </c>
    </row>
    <row r="21" spans="1:14" ht="14.25" customHeight="1" x14ac:dyDescent="0.25">
      <c r="A21" s="3" t="s">
        <v>13</v>
      </c>
      <c r="B21" s="3">
        <v>4</v>
      </c>
      <c r="C21" s="15" t="s">
        <v>24</v>
      </c>
      <c r="D21" s="5">
        <v>31</v>
      </c>
      <c r="E21" s="3" t="s">
        <v>15</v>
      </c>
      <c r="F21" s="3"/>
      <c r="G21" s="8"/>
      <c r="H21" s="8"/>
      <c r="I21" s="8"/>
      <c r="J21" s="8"/>
      <c r="K21" s="8"/>
      <c r="L21" s="8"/>
      <c r="M21" s="8"/>
      <c r="N21" s="9"/>
    </row>
    <row r="22" spans="1:14" x14ac:dyDescent="0.25">
      <c r="A22" s="3" t="s">
        <v>13</v>
      </c>
      <c r="B22" s="3">
        <v>5</v>
      </c>
      <c r="C22" s="4" t="s">
        <v>14</v>
      </c>
      <c r="D22" s="7">
        <v>36</v>
      </c>
      <c r="E22" s="3" t="s">
        <v>16</v>
      </c>
      <c r="F22" s="3" t="s">
        <v>29</v>
      </c>
      <c r="G22" s="16">
        <v>25</v>
      </c>
      <c r="H22" s="16"/>
      <c r="I22" s="16"/>
      <c r="J22" s="16"/>
      <c r="K22" s="16"/>
      <c r="L22" s="16"/>
      <c r="M22" s="16"/>
      <c r="N22" s="9" t="s">
        <v>18</v>
      </c>
    </row>
    <row r="23" spans="1:14" x14ac:dyDescent="0.25">
      <c r="A23" s="3" t="s">
        <v>13</v>
      </c>
      <c r="B23" s="3">
        <v>5</v>
      </c>
      <c r="C23" s="4" t="s">
        <v>14</v>
      </c>
      <c r="D23" s="5">
        <v>37</v>
      </c>
      <c r="E23" s="3" t="s">
        <v>15</v>
      </c>
      <c r="F23" s="3"/>
      <c r="G23" s="8"/>
      <c r="H23" s="8"/>
      <c r="I23" s="8"/>
      <c r="J23" s="8"/>
      <c r="K23" s="8"/>
      <c r="L23" s="8"/>
      <c r="M23" s="8"/>
      <c r="N23" s="9"/>
    </row>
    <row r="24" spans="1:14" x14ac:dyDescent="0.25">
      <c r="A24" s="3" t="s">
        <v>13</v>
      </c>
      <c r="B24" s="3">
        <v>5</v>
      </c>
      <c r="C24" s="4" t="s">
        <v>14</v>
      </c>
      <c r="D24" s="5">
        <v>38</v>
      </c>
      <c r="E24" s="3" t="s">
        <v>15</v>
      </c>
      <c r="F24" s="3"/>
      <c r="G24" s="8"/>
      <c r="H24" s="8"/>
      <c r="I24" s="8"/>
      <c r="J24" s="8"/>
      <c r="K24" s="8"/>
      <c r="L24" s="8"/>
      <c r="M24" s="8"/>
      <c r="N24" s="9"/>
    </row>
    <row r="25" spans="1:14" x14ac:dyDescent="0.25">
      <c r="A25" s="3" t="s">
        <v>13</v>
      </c>
      <c r="B25" s="3">
        <v>5</v>
      </c>
      <c r="C25" s="4" t="s">
        <v>14</v>
      </c>
      <c r="D25" s="7">
        <v>40</v>
      </c>
      <c r="E25" s="3" t="s">
        <v>16</v>
      </c>
      <c r="F25" s="3" t="s">
        <v>30</v>
      </c>
      <c r="G25" s="8">
        <v>8</v>
      </c>
      <c r="H25" s="8">
        <v>36</v>
      </c>
      <c r="J25" s="8">
        <v>1.71</v>
      </c>
      <c r="K25" s="8">
        <v>1.75</v>
      </c>
      <c r="L25" s="8">
        <v>1.78</v>
      </c>
      <c r="M25" s="8">
        <v>1.7</v>
      </c>
      <c r="N25" s="9" t="s">
        <v>18</v>
      </c>
    </row>
    <row r="26" spans="1:14" ht="15" customHeight="1" x14ac:dyDescent="0.25">
      <c r="A26" s="3" t="s">
        <v>13</v>
      </c>
      <c r="B26" s="3">
        <v>5</v>
      </c>
      <c r="C26" s="4" t="s">
        <v>14</v>
      </c>
      <c r="D26" s="5">
        <v>43</v>
      </c>
      <c r="E26" s="3" t="s">
        <v>15</v>
      </c>
      <c r="F26" s="3"/>
      <c r="G26" s="8"/>
      <c r="H26" s="8"/>
      <c r="I26" s="8"/>
      <c r="J26" s="8"/>
      <c r="K26" s="8"/>
      <c r="L26" s="8"/>
      <c r="M26" s="8"/>
      <c r="N26" s="9"/>
    </row>
    <row r="27" spans="1:14" x14ac:dyDescent="0.25">
      <c r="A27" s="3" t="s">
        <v>13</v>
      </c>
      <c r="B27" s="3">
        <v>5</v>
      </c>
      <c r="C27" s="4" t="s">
        <v>14</v>
      </c>
      <c r="D27" s="7">
        <v>44</v>
      </c>
      <c r="E27" s="3" t="s">
        <v>16</v>
      </c>
      <c r="F27" s="3" t="s">
        <v>31</v>
      </c>
      <c r="G27" s="8">
        <v>6</v>
      </c>
      <c r="H27" s="8">
        <v>34</v>
      </c>
      <c r="I27" s="8"/>
      <c r="J27" s="8">
        <v>0.65</v>
      </c>
      <c r="K27" s="8">
        <v>0.75</v>
      </c>
      <c r="L27" s="8">
        <v>0.81</v>
      </c>
      <c r="M27" s="8">
        <v>0.99</v>
      </c>
      <c r="N27" s="17" t="s">
        <v>18</v>
      </c>
    </row>
    <row r="28" spans="1:14" ht="14.25" customHeight="1" x14ac:dyDescent="0.25">
      <c r="A28" s="3" t="s">
        <v>13</v>
      </c>
      <c r="B28" s="3">
        <v>6</v>
      </c>
      <c r="C28" s="15" t="s">
        <v>24</v>
      </c>
      <c r="D28" s="7">
        <v>47</v>
      </c>
      <c r="E28" s="3" t="s">
        <v>16</v>
      </c>
      <c r="F28" s="3" t="s">
        <v>32</v>
      </c>
      <c r="G28" s="8">
        <v>2</v>
      </c>
      <c r="H28" s="8">
        <v>44</v>
      </c>
      <c r="I28" s="8"/>
      <c r="J28" s="8">
        <v>4.79</v>
      </c>
      <c r="K28" s="8">
        <v>4.7300000000000004</v>
      </c>
      <c r="L28" s="8">
        <v>4.9000000000000004</v>
      </c>
      <c r="M28" s="8">
        <v>5.42</v>
      </c>
      <c r="N28" s="9" t="s">
        <v>18</v>
      </c>
    </row>
    <row r="29" spans="1:14" ht="14.25" customHeight="1" x14ac:dyDescent="0.25">
      <c r="A29" s="3" t="s">
        <v>13</v>
      </c>
      <c r="B29" s="3">
        <v>6</v>
      </c>
      <c r="C29" s="15" t="s">
        <v>24</v>
      </c>
      <c r="D29" s="5">
        <v>51</v>
      </c>
      <c r="E29" s="3" t="s">
        <v>15</v>
      </c>
      <c r="F29" s="3"/>
      <c r="G29" s="8"/>
      <c r="H29" s="8"/>
      <c r="I29" s="8"/>
      <c r="J29" s="8"/>
      <c r="K29" s="8"/>
      <c r="L29" s="8"/>
      <c r="M29" s="8"/>
      <c r="N29" s="9"/>
    </row>
    <row r="30" spans="1:14" x14ac:dyDescent="0.25">
      <c r="A30" s="3" t="s">
        <v>13</v>
      </c>
      <c r="B30" s="3">
        <v>6</v>
      </c>
      <c r="C30" s="15" t="s">
        <v>24</v>
      </c>
      <c r="D30" s="7">
        <v>52</v>
      </c>
      <c r="E30" s="3" t="s">
        <v>16</v>
      </c>
      <c r="F30" s="3" t="s">
        <v>33</v>
      </c>
      <c r="G30" s="8">
        <v>19</v>
      </c>
      <c r="H30" s="8">
        <v>45</v>
      </c>
      <c r="I30" s="8"/>
      <c r="J30" s="8">
        <v>1.9</v>
      </c>
      <c r="K30" s="8">
        <v>1.77</v>
      </c>
      <c r="L30" s="8">
        <v>1.85</v>
      </c>
      <c r="M30" s="8">
        <v>1.84</v>
      </c>
      <c r="N30" s="18" t="s">
        <v>18</v>
      </c>
    </row>
    <row r="31" spans="1:14" ht="15" customHeight="1" x14ac:dyDescent="0.25">
      <c r="A31" s="3" t="s">
        <v>13</v>
      </c>
      <c r="B31" s="3">
        <v>6</v>
      </c>
      <c r="C31" s="15" t="s">
        <v>24</v>
      </c>
      <c r="D31" s="5">
        <v>55</v>
      </c>
      <c r="E31" s="3" t="s">
        <v>15</v>
      </c>
      <c r="F31" s="3"/>
      <c r="G31" s="8"/>
      <c r="H31" s="8"/>
      <c r="I31" s="8"/>
      <c r="J31" s="8"/>
      <c r="K31" s="8"/>
      <c r="L31" s="8"/>
      <c r="M31" s="8"/>
    </row>
    <row r="33" spans="1:13" x14ac:dyDescent="0.25">
      <c r="A33" s="19"/>
      <c r="B33" s="19"/>
      <c r="C33" s="19"/>
      <c r="D33" s="19"/>
      <c r="E33" s="19"/>
      <c r="F33" s="19"/>
      <c r="G33" s="8"/>
      <c r="H33" s="8"/>
      <c r="I33" s="8"/>
      <c r="J33" s="8"/>
      <c r="K33" s="8"/>
      <c r="L33" s="8"/>
      <c r="M33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zoomScale="115" zoomScaleNormal="115" workbookViewId="0">
      <selection activeCell="K15" sqref="K15"/>
    </sheetView>
  </sheetViews>
  <sheetFormatPr baseColWidth="10" defaultColWidth="8.5703125" defaultRowHeight="15" x14ac:dyDescent="0.25"/>
  <cols>
    <col min="5" max="5" width="11.42578125" bestFit="1" customWidth="1"/>
    <col min="1014" max="1023" width="9.140625" customWidth="1"/>
  </cols>
  <sheetData>
    <row r="1" spans="1:11" ht="15" customHeight="1" x14ac:dyDescent="0.25">
      <c r="A1" s="20" t="s">
        <v>0</v>
      </c>
      <c r="B1" s="21" t="s">
        <v>1</v>
      </c>
      <c r="C1" s="20" t="s">
        <v>2</v>
      </c>
      <c r="D1" s="1" t="s">
        <v>3</v>
      </c>
      <c r="E1" s="22" t="s">
        <v>5</v>
      </c>
      <c r="F1" s="23" t="s">
        <v>7</v>
      </c>
      <c r="G1" s="24" t="s">
        <v>9</v>
      </c>
      <c r="H1" s="23" t="s">
        <v>10</v>
      </c>
      <c r="I1" s="24" t="s">
        <v>11</v>
      </c>
      <c r="J1" s="23" t="s">
        <v>195</v>
      </c>
      <c r="K1" s="2" t="s">
        <v>12</v>
      </c>
    </row>
    <row r="2" spans="1:11" x14ac:dyDescent="0.25">
      <c r="A2" s="25" t="s">
        <v>13</v>
      </c>
      <c r="B2" s="3">
        <v>1</v>
      </c>
      <c r="C2" s="26" t="s">
        <v>14</v>
      </c>
      <c r="D2" s="7">
        <v>2</v>
      </c>
      <c r="E2" s="28" t="s">
        <v>35</v>
      </c>
      <c r="F2" s="12">
        <v>0</v>
      </c>
      <c r="G2" s="8">
        <v>0</v>
      </c>
      <c r="H2" s="12"/>
      <c r="I2" s="8">
        <v>0</v>
      </c>
      <c r="J2" s="12">
        <v>0</v>
      </c>
      <c r="K2" s="9" t="s">
        <v>18</v>
      </c>
    </row>
    <row r="3" spans="1:11" ht="15" customHeight="1" x14ac:dyDescent="0.25">
      <c r="A3" s="25" t="s">
        <v>13</v>
      </c>
      <c r="B3" s="3">
        <v>1</v>
      </c>
      <c r="C3" s="26" t="s">
        <v>14</v>
      </c>
      <c r="D3" s="7">
        <v>3</v>
      </c>
      <c r="E3" s="29" t="s">
        <v>36</v>
      </c>
      <c r="F3" s="12">
        <v>0</v>
      </c>
      <c r="G3" s="8">
        <v>0</v>
      </c>
      <c r="H3" s="12"/>
      <c r="I3" s="8">
        <v>0</v>
      </c>
      <c r="J3" s="12">
        <v>0</v>
      </c>
      <c r="K3" s="12" t="s">
        <v>18</v>
      </c>
    </row>
    <row r="4" spans="1:11" ht="15" customHeight="1" x14ac:dyDescent="0.25">
      <c r="A4" s="25" t="s">
        <v>13</v>
      </c>
      <c r="B4" s="3">
        <v>1</v>
      </c>
      <c r="C4" s="26" t="s">
        <v>14</v>
      </c>
      <c r="D4" s="7">
        <v>5</v>
      </c>
      <c r="E4" s="28" t="s">
        <v>38</v>
      </c>
      <c r="F4" s="12">
        <v>0</v>
      </c>
      <c r="G4" s="8">
        <v>0</v>
      </c>
      <c r="H4" s="12"/>
      <c r="I4" s="8">
        <v>0</v>
      </c>
      <c r="J4" s="12">
        <v>0</v>
      </c>
      <c r="K4" s="9" t="s">
        <v>18</v>
      </c>
    </row>
    <row r="5" spans="1:11" x14ac:dyDescent="0.25">
      <c r="A5" s="25" t="s">
        <v>13</v>
      </c>
      <c r="B5" s="3">
        <v>2</v>
      </c>
      <c r="C5" s="26" t="s">
        <v>14</v>
      </c>
      <c r="D5" s="7">
        <v>8</v>
      </c>
      <c r="E5" s="28" t="s">
        <v>39</v>
      </c>
      <c r="F5" s="12">
        <v>0</v>
      </c>
      <c r="G5" s="8">
        <v>0</v>
      </c>
      <c r="H5" s="12"/>
      <c r="I5" s="8">
        <v>0</v>
      </c>
      <c r="J5" s="12">
        <v>0</v>
      </c>
      <c r="K5" s="9" t="s">
        <v>18</v>
      </c>
    </row>
    <row r="6" spans="1:11" ht="15" customHeight="1" x14ac:dyDescent="0.25">
      <c r="A6" s="25" t="s">
        <v>13</v>
      </c>
      <c r="B6" s="3">
        <v>2</v>
      </c>
      <c r="C6" s="26" t="s">
        <v>14</v>
      </c>
      <c r="D6" s="7">
        <v>9</v>
      </c>
      <c r="E6" s="28" t="s">
        <v>40</v>
      </c>
      <c r="F6" s="12">
        <v>0</v>
      </c>
      <c r="G6" s="8">
        <v>0</v>
      </c>
      <c r="H6" s="12"/>
      <c r="I6" s="8">
        <v>0</v>
      </c>
      <c r="J6" s="12">
        <v>0</v>
      </c>
      <c r="K6" s="9" t="s">
        <v>18</v>
      </c>
    </row>
    <row r="7" spans="1:11" ht="15" customHeight="1" x14ac:dyDescent="0.25">
      <c r="A7" s="25" t="s">
        <v>13</v>
      </c>
      <c r="B7" s="3">
        <v>2</v>
      </c>
      <c r="C7" s="26" t="s">
        <v>14</v>
      </c>
      <c r="D7" s="7">
        <v>10</v>
      </c>
      <c r="E7" s="28" t="s">
        <v>41</v>
      </c>
      <c r="F7" s="12">
        <v>0</v>
      </c>
      <c r="G7" s="8">
        <v>0</v>
      </c>
      <c r="H7" s="12"/>
      <c r="I7" s="8">
        <v>0</v>
      </c>
      <c r="J7" s="12">
        <v>0</v>
      </c>
      <c r="K7" s="9" t="s">
        <v>18</v>
      </c>
    </row>
    <row r="8" spans="1:11" x14ac:dyDescent="0.25">
      <c r="A8" s="25" t="s">
        <v>13</v>
      </c>
      <c r="B8" s="3">
        <v>3</v>
      </c>
      <c r="C8" s="31" t="s">
        <v>24</v>
      </c>
      <c r="D8" s="7">
        <v>18</v>
      </c>
      <c r="E8" s="28" t="s">
        <v>42</v>
      </c>
      <c r="F8" s="12">
        <v>0</v>
      </c>
      <c r="G8" s="8">
        <v>0</v>
      </c>
      <c r="H8" s="12"/>
      <c r="I8" s="8">
        <v>0</v>
      </c>
      <c r="J8" s="12">
        <v>0</v>
      </c>
      <c r="K8" s="9" t="s">
        <v>18</v>
      </c>
    </row>
    <row r="9" spans="1:11" ht="15" customHeight="1" x14ac:dyDescent="0.25">
      <c r="A9" s="25" t="s">
        <v>13</v>
      </c>
      <c r="B9" s="3">
        <v>3</v>
      </c>
      <c r="C9" s="31" t="s">
        <v>24</v>
      </c>
      <c r="D9" s="7">
        <v>19</v>
      </c>
      <c r="E9" s="28" t="s">
        <v>43</v>
      </c>
      <c r="F9" s="12">
        <v>0</v>
      </c>
      <c r="G9" s="8">
        <v>0</v>
      </c>
      <c r="H9" s="12"/>
      <c r="I9" s="8">
        <v>0</v>
      </c>
      <c r="J9" s="12">
        <v>0</v>
      </c>
      <c r="K9" s="9" t="s">
        <v>18</v>
      </c>
    </row>
    <row r="10" spans="1:11" x14ac:dyDescent="0.25">
      <c r="A10" s="25" t="s">
        <v>13</v>
      </c>
      <c r="B10" s="3">
        <v>4</v>
      </c>
      <c r="C10" s="31" t="s">
        <v>24</v>
      </c>
      <c r="D10" s="7">
        <v>26</v>
      </c>
      <c r="E10" s="28" t="s">
        <v>44</v>
      </c>
      <c r="F10" s="12">
        <v>0</v>
      </c>
      <c r="G10" s="8">
        <v>0</v>
      </c>
      <c r="H10" s="12"/>
      <c r="I10" s="8">
        <v>0</v>
      </c>
      <c r="J10" s="12">
        <v>0</v>
      </c>
      <c r="K10" s="9" t="s">
        <v>18</v>
      </c>
    </row>
    <row r="11" spans="1:11" ht="15" customHeight="1" x14ac:dyDescent="0.25">
      <c r="A11" s="25" t="s">
        <v>13</v>
      </c>
      <c r="B11" s="3">
        <v>4</v>
      </c>
      <c r="C11" s="31" t="s">
        <v>24</v>
      </c>
      <c r="D11" s="7">
        <v>30</v>
      </c>
      <c r="E11" s="28" t="s">
        <v>45</v>
      </c>
      <c r="F11" s="12">
        <v>0</v>
      </c>
      <c r="G11" s="8">
        <v>0</v>
      </c>
      <c r="H11" s="12"/>
      <c r="I11" s="8">
        <v>0</v>
      </c>
      <c r="J11" s="12">
        <v>0</v>
      </c>
      <c r="K11" s="9" t="s">
        <v>18</v>
      </c>
    </row>
    <row r="12" spans="1:11" x14ac:dyDescent="0.25">
      <c r="A12" s="25" t="s">
        <v>13</v>
      </c>
      <c r="B12" s="3">
        <v>5</v>
      </c>
      <c r="C12" s="26" t="s">
        <v>14</v>
      </c>
      <c r="D12" s="7">
        <v>36</v>
      </c>
      <c r="E12" s="28" t="s">
        <v>46</v>
      </c>
      <c r="F12" s="12">
        <v>0</v>
      </c>
      <c r="G12" s="8">
        <v>0</v>
      </c>
      <c r="H12" s="12"/>
      <c r="I12" s="8">
        <v>0</v>
      </c>
      <c r="J12" s="12">
        <v>0</v>
      </c>
      <c r="K12" s="9" t="s">
        <v>18</v>
      </c>
    </row>
    <row r="13" spans="1:11" x14ac:dyDescent="0.25">
      <c r="A13" s="25" t="s">
        <v>13</v>
      </c>
      <c r="B13" s="3">
        <v>5</v>
      </c>
      <c r="C13" s="26" t="s">
        <v>14</v>
      </c>
      <c r="D13" s="7">
        <v>40</v>
      </c>
      <c r="E13" s="28" t="s">
        <v>47</v>
      </c>
      <c r="F13" s="12">
        <v>0</v>
      </c>
      <c r="G13" s="8">
        <v>0</v>
      </c>
      <c r="H13" s="12"/>
      <c r="I13" s="8">
        <v>0</v>
      </c>
      <c r="J13" s="12">
        <v>0</v>
      </c>
      <c r="K13" s="9" t="s">
        <v>18</v>
      </c>
    </row>
    <row r="14" spans="1:11" x14ac:dyDescent="0.25">
      <c r="A14" s="25" t="s">
        <v>13</v>
      </c>
      <c r="B14" s="3">
        <v>5</v>
      </c>
      <c r="C14" s="26" t="s">
        <v>14</v>
      </c>
      <c r="D14" s="7">
        <v>44</v>
      </c>
      <c r="E14" s="28" t="s">
        <v>48</v>
      </c>
      <c r="F14" s="32"/>
      <c r="G14" s="16"/>
      <c r="H14" s="32"/>
      <c r="I14" s="16"/>
      <c r="J14" s="32"/>
      <c r="K14" s="17" t="s">
        <v>18</v>
      </c>
    </row>
    <row r="15" spans="1:11" x14ac:dyDescent="0.25">
      <c r="A15" s="25" t="s">
        <v>13</v>
      </c>
      <c r="B15" s="3">
        <v>6</v>
      </c>
      <c r="C15" s="31" t="s">
        <v>24</v>
      </c>
      <c r="D15" s="7">
        <v>47</v>
      </c>
      <c r="E15" s="28" t="s">
        <v>49</v>
      </c>
      <c r="F15" s="12">
        <v>0</v>
      </c>
      <c r="G15" s="8">
        <v>0</v>
      </c>
      <c r="H15" s="12"/>
      <c r="I15" s="8">
        <v>0</v>
      </c>
      <c r="J15" s="12">
        <v>0</v>
      </c>
      <c r="K15" s="9" t="s">
        <v>18</v>
      </c>
    </row>
    <row r="16" spans="1:11" x14ac:dyDescent="0.25">
      <c r="A16" s="25" t="s">
        <v>13</v>
      </c>
      <c r="B16" s="3">
        <v>6</v>
      </c>
      <c r="C16" s="31" t="s">
        <v>24</v>
      </c>
      <c r="D16" s="7">
        <v>52</v>
      </c>
      <c r="E16" s="28" t="s">
        <v>50</v>
      </c>
      <c r="F16" s="12">
        <v>0</v>
      </c>
      <c r="G16" s="8">
        <v>0</v>
      </c>
      <c r="H16" s="12"/>
      <c r="I16" s="8">
        <v>0</v>
      </c>
      <c r="J16" s="12">
        <v>0</v>
      </c>
      <c r="K16" s="9" t="s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"/>
  <sheetViews>
    <sheetView zoomScale="115" zoomScaleNormal="115" workbookViewId="0">
      <pane xSplit="1" topLeftCell="B1" activePane="topRight" state="frozen"/>
      <selection pane="topRight" activeCell="M16" sqref="A16:M16"/>
    </sheetView>
  </sheetViews>
  <sheetFormatPr baseColWidth="10" defaultColWidth="8.5703125" defaultRowHeight="15" x14ac:dyDescent="0.25"/>
  <cols>
    <col min="5" max="5" width="10.42578125" customWidth="1"/>
    <col min="11" max="11" width="12.140625" customWidth="1"/>
    <col min="12" max="12" width="10.85546875" customWidth="1"/>
    <col min="13" max="13" width="16.5703125" customWidth="1"/>
    <col min="1014" max="1022" width="9.140625" customWidth="1"/>
  </cols>
  <sheetData>
    <row r="1" spans="1:18" ht="15" customHeigh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38" t="s">
        <v>7</v>
      </c>
      <c r="G1" s="23" t="s">
        <v>9</v>
      </c>
      <c r="H1" s="24" t="s">
        <v>10</v>
      </c>
      <c r="I1" s="23" t="s">
        <v>11</v>
      </c>
      <c r="J1" s="39" t="s">
        <v>195</v>
      </c>
      <c r="K1" s="85" t="s">
        <v>12</v>
      </c>
      <c r="L1" s="2" t="s">
        <v>52</v>
      </c>
      <c r="M1" s="39" t="s">
        <v>197</v>
      </c>
    </row>
    <row r="2" spans="1:18" x14ac:dyDescent="0.25">
      <c r="A2" s="7">
        <v>2</v>
      </c>
      <c r="B2" s="3" t="s">
        <v>13</v>
      </c>
      <c r="C2" s="3">
        <v>1</v>
      </c>
      <c r="D2" s="4" t="s">
        <v>14</v>
      </c>
      <c r="E2" s="3" t="s">
        <v>196</v>
      </c>
      <c r="F2" s="41">
        <v>0</v>
      </c>
      <c r="G2" s="12">
        <v>0</v>
      </c>
      <c r="H2" s="8"/>
      <c r="I2" s="12">
        <v>0</v>
      </c>
      <c r="J2" s="8">
        <v>0</v>
      </c>
      <c r="K2" s="86" t="s">
        <v>18</v>
      </c>
      <c r="L2" s="27" t="s">
        <v>18</v>
      </c>
      <c r="M2" s="9"/>
    </row>
    <row r="3" spans="1:18" ht="14.25" customHeight="1" x14ac:dyDescent="0.25">
      <c r="A3" s="7">
        <v>3</v>
      </c>
      <c r="B3" s="3" t="s">
        <v>13</v>
      </c>
      <c r="C3" s="3">
        <v>1</v>
      </c>
      <c r="D3" s="4" t="s">
        <v>14</v>
      </c>
      <c r="E3" s="10" t="s">
        <v>53</v>
      </c>
      <c r="F3" s="41">
        <v>3</v>
      </c>
      <c r="G3" s="12">
        <v>0.47</v>
      </c>
      <c r="H3" s="8">
        <v>0.43</v>
      </c>
      <c r="I3" s="12">
        <v>0.43</v>
      </c>
      <c r="J3" s="8">
        <v>0.47</v>
      </c>
      <c r="K3" s="86" t="s">
        <v>37</v>
      </c>
      <c r="L3" s="27" t="s">
        <v>18</v>
      </c>
      <c r="M3" s="9">
        <v>2.39</v>
      </c>
      <c r="N3" s="42"/>
      <c r="O3" s="42"/>
      <c r="P3" s="42"/>
      <c r="Q3" s="42"/>
      <c r="R3" s="42"/>
    </row>
    <row r="4" spans="1:18" x14ac:dyDescent="0.25">
      <c r="A4" s="7">
        <v>5</v>
      </c>
      <c r="B4" s="3" t="s">
        <v>13</v>
      </c>
      <c r="C4" s="3">
        <v>1</v>
      </c>
      <c r="D4" s="4" t="s">
        <v>14</v>
      </c>
      <c r="E4" s="3" t="s">
        <v>54</v>
      </c>
      <c r="F4" s="41">
        <v>1</v>
      </c>
      <c r="G4" s="12">
        <v>0.3</v>
      </c>
      <c r="H4" s="8">
        <v>0.3</v>
      </c>
      <c r="I4" s="12">
        <v>0.3</v>
      </c>
      <c r="J4" s="8">
        <v>0.18</v>
      </c>
      <c r="K4" s="86" t="s">
        <v>37</v>
      </c>
      <c r="L4" s="12" t="s">
        <v>18</v>
      </c>
      <c r="M4" s="9">
        <v>1.21</v>
      </c>
      <c r="N4" s="8"/>
      <c r="O4" s="8"/>
    </row>
    <row r="5" spans="1:18" x14ac:dyDescent="0.25">
      <c r="A5" s="7">
        <v>8</v>
      </c>
      <c r="B5" s="3" t="s">
        <v>13</v>
      </c>
      <c r="C5" s="3">
        <v>2</v>
      </c>
      <c r="D5" s="4" t="s">
        <v>14</v>
      </c>
      <c r="E5" s="3" t="s">
        <v>55</v>
      </c>
      <c r="F5" s="41">
        <v>0</v>
      </c>
      <c r="G5" s="12">
        <v>0</v>
      </c>
      <c r="H5" s="8"/>
      <c r="I5" s="12">
        <v>0</v>
      </c>
      <c r="J5" s="8">
        <v>0</v>
      </c>
      <c r="K5" s="86" t="s">
        <v>18</v>
      </c>
      <c r="L5" s="12" t="s">
        <v>18</v>
      </c>
      <c r="M5" s="9"/>
    </row>
    <row r="6" spans="1:18" ht="14.25" customHeight="1" x14ac:dyDescent="0.25">
      <c r="A6" s="7">
        <v>9</v>
      </c>
      <c r="B6" s="3" t="s">
        <v>13</v>
      </c>
      <c r="C6" s="3">
        <v>2</v>
      </c>
      <c r="D6" s="4" t="s">
        <v>14</v>
      </c>
      <c r="E6" s="3" t="s">
        <v>56</v>
      </c>
      <c r="F6" s="41">
        <v>1</v>
      </c>
      <c r="G6" s="12">
        <v>0.34</v>
      </c>
      <c r="H6" s="8">
        <v>0.34</v>
      </c>
      <c r="I6" s="12">
        <v>0.36</v>
      </c>
      <c r="J6" s="8">
        <v>0.17</v>
      </c>
      <c r="K6" s="86" t="s">
        <v>37</v>
      </c>
      <c r="L6" s="12" t="s">
        <v>18</v>
      </c>
      <c r="M6" s="9">
        <v>0.87</v>
      </c>
      <c r="N6" s="8"/>
    </row>
    <row r="7" spans="1:18" ht="12.75" customHeight="1" x14ac:dyDescent="0.25">
      <c r="A7" s="7">
        <v>10</v>
      </c>
      <c r="B7" s="3" t="s">
        <v>13</v>
      </c>
      <c r="C7" s="3">
        <v>2</v>
      </c>
      <c r="D7" s="4" t="s">
        <v>14</v>
      </c>
      <c r="E7" s="3" t="s">
        <v>57</v>
      </c>
      <c r="F7" s="41">
        <v>0</v>
      </c>
      <c r="G7" s="12">
        <v>0</v>
      </c>
      <c r="H7" s="8"/>
      <c r="I7" s="12">
        <v>0</v>
      </c>
      <c r="J7" s="8">
        <v>0</v>
      </c>
      <c r="K7" s="86" t="s">
        <v>18</v>
      </c>
      <c r="L7" s="12" t="s">
        <v>18</v>
      </c>
      <c r="M7" s="9"/>
      <c r="N7" s="8"/>
    </row>
    <row r="8" spans="1:18" x14ac:dyDescent="0.25">
      <c r="A8" s="7">
        <v>18</v>
      </c>
      <c r="B8" s="3" t="s">
        <v>13</v>
      </c>
      <c r="C8" s="3">
        <v>3</v>
      </c>
      <c r="D8" s="15" t="s">
        <v>24</v>
      </c>
      <c r="E8" s="3" t="s">
        <v>58</v>
      </c>
      <c r="F8" s="41">
        <v>3</v>
      </c>
      <c r="G8" s="12">
        <v>0.36</v>
      </c>
      <c r="H8" s="8">
        <v>0.22</v>
      </c>
      <c r="I8" s="12">
        <v>0.26</v>
      </c>
      <c r="J8" s="8">
        <v>0.28999999999999998</v>
      </c>
      <c r="K8" s="86" t="s">
        <v>37</v>
      </c>
      <c r="L8" s="27" t="s">
        <v>18</v>
      </c>
      <c r="M8" s="8">
        <v>1.54</v>
      </c>
    </row>
    <row r="9" spans="1:18" x14ac:dyDescent="0.25">
      <c r="A9" s="7">
        <v>19</v>
      </c>
      <c r="B9" s="3" t="s">
        <v>13</v>
      </c>
      <c r="C9" s="3">
        <v>3</v>
      </c>
      <c r="D9" s="15" t="s">
        <v>24</v>
      </c>
      <c r="E9" s="3" t="s">
        <v>59</v>
      </c>
      <c r="F9" s="41">
        <v>2</v>
      </c>
      <c r="G9" s="12">
        <v>0.27</v>
      </c>
      <c r="H9" s="8">
        <v>0.27</v>
      </c>
      <c r="I9" s="12">
        <v>0.2</v>
      </c>
      <c r="J9" s="8">
        <v>0.18</v>
      </c>
      <c r="K9" s="86" t="s">
        <v>37</v>
      </c>
      <c r="L9" s="27" t="s">
        <v>18</v>
      </c>
      <c r="M9" s="8">
        <v>2.06</v>
      </c>
    </row>
    <row r="10" spans="1:18" x14ac:dyDescent="0.25">
      <c r="A10" s="7">
        <v>26</v>
      </c>
      <c r="B10" s="3" t="s">
        <v>13</v>
      </c>
      <c r="C10" s="3">
        <v>4</v>
      </c>
      <c r="D10" s="15" t="s">
        <v>24</v>
      </c>
      <c r="E10" s="3" t="s">
        <v>60</v>
      </c>
      <c r="F10" s="41">
        <v>2</v>
      </c>
      <c r="G10" s="12">
        <v>0.21</v>
      </c>
      <c r="H10" s="8">
        <v>0.18</v>
      </c>
      <c r="I10" s="12">
        <v>0.21</v>
      </c>
      <c r="J10" s="8">
        <v>0.28999999999999998</v>
      </c>
      <c r="K10" s="86" t="s">
        <v>37</v>
      </c>
      <c r="L10" s="12" t="s">
        <v>18</v>
      </c>
      <c r="M10" s="8">
        <v>0.61</v>
      </c>
    </row>
    <row r="11" spans="1:18" x14ac:dyDescent="0.25">
      <c r="A11" s="7">
        <v>30</v>
      </c>
      <c r="B11" s="3" t="s">
        <v>13</v>
      </c>
      <c r="C11" s="3">
        <v>4</v>
      </c>
      <c r="D11" s="15" t="s">
        <v>24</v>
      </c>
      <c r="E11" s="3" t="s">
        <v>61</v>
      </c>
      <c r="F11" s="41">
        <v>0</v>
      </c>
      <c r="G11" s="12">
        <v>0</v>
      </c>
      <c r="H11" s="8"/>
      <c r="I11" s="12">
        <v>0</v>
      </c>
      <c r="J11" s="8">
        <v>0</v>
      </c>
      <c r="K11" s="86" t="s">
        <v>18</v>
      </c>
      <c r="L11" s="12" t="s">
        <v>18</v>
      </c>
      <c r="M11" s="9"/>
    </row>
    <row r="12" spans="1:18" x14ac:dyDescent="0.25">
      <c r="A12" s="7">
        <v>36</v>
      </c>
      <c r="B12" s="3" t="s">
        <v>13</v>
      </c>
      <c r="C12" s="3">
        <v>5</v>
      </c>
      <c r="D12" s="4" t="s">
        <v>14</v>
      </c>
      <c r="E12" s="3" t="s">
        <v>62</v>
      </c>
      <c r="F12" s="41">
        <v>0</v>
      </c>
      <c r="G12" s="12">
        <v>0</v>
      </c>
      <c r="H12" s="8"/>
      <c r="I12" s="12">
        <v>0</v>
      </c>
      <c r="J12" s="8">
        <v>0</v>
      </c>
      <c r="K12" s="86" t="s">
        <v>18</v>
      </c>
      <c r="L12" s="12" t="s">
        <v>18</v>
      </c>
      <c r="M12" s="9"/>
    </row>
    <row r="13" spans="1:18" x14ac:dyDescent="0.25">
      <c r="A13" s="7">
        <v>40</v>
      </c>
      <c r="B13" s="3" t="s">
        <v>13</v>
      </c>
      <c r="C13" s="3">
        <v>5</v>
      </c>
      <c r="D13" s="4" t="s">
        <v>14</v>
      </c>
      <c r="E13" s="3" t="s">
        <v>63</v>
      </c>
      <c r="F13" s="41">
        <v>0</v>
      </c>
      <c r="G13" s="12">
        <v>0</v>
      </c>
      <c r="H13" s="8"/>
      <c r="I13" s="12">
        <v>0</v>
      </c>
      <c r="J13" s="8">
        <v>0</v>
      </c>
      <c r="K13" s="86" t="s">
        <v>18</v>
      </c>
      <c r="L13" s="12" t="s">
        <v>18</v>
      </c>
      <c r="M13" s="9"/>
    </row>
    <row r="14" spans="1:18" x14ac:dyDescent="0.25">
      <c r="A14" s="7">
        <v>44</v>
      </c>
      <c r="B14" s="3" t="s">
        <v>13</v>
      </c>
      <c r="C14" s="3">
        <v>5</v>
      </c>
      <c r="D14" s="4" t="s">
        <v>14</v>
      </c>
      <c r="E14" s="3" t="s">
        <v>64</v>
      </c>
      <c r="F14" s="41">
        <v>0</v>
      </c>
      <c r="G14" s="12">
        <v>0</v>
      </c>
      <c r="H14" s="8"/>
      <c r="I14" s="12">
        <v>0</v>
      </c>
      <c r="J14" s="8">
        <v>0</v>
      </c>
      <c r="K14" s="86" t="s">
        <v>18</v>
      </c>
      <c r="L14" s="9" t="s">
        <v>18</v>
      </c>
      <c r="M14" s="9"/>
    </row>
    <row r="15" spans="1:18" ht="14.25" customHeight="1" x14ac:dyDescent="0.25">
      <c r="A15" s="104">
        <v>47</v>
      </c>
      <c r="B15" s="96" t="s">
        <v>13</v>
      </c>
      <c r="C15" s="96">
        <v>6</v>
      </c>
      <c r="D15" s="103" t="s">
        <v>24</v>
      </c>
      <c r="E15" s="96" t="s">
        <v>65</v>
      </c>
      <c r="F15" s="102">
        <v>3</v>
      </c>
      <c r="G15" s="80">
        <v>0.28000000000000003</v>
      </c>
      <c r="H15" s="81">
        <v>0.28999999999999998</v>
      </c>
      <c r="I15" s="80">
        <v>0.28000000000000003</v>
      </c>
      <c r="J15" s="81">
        <v>0.3</v>
      </c>
      <c r="K15" s="80" t="s">
        <v>37</v>
      </c>
      <c r="L15" s="80" t="s">
        <v>18</v>
      </c>
      <c r="M15" s="81">
        <v>4.42</v>
      </c>
    </row>
    <row r="16" spans="1:18" x14ac:dyDescent="0.25">
      <c r="A16" s="90">
        <v>52</v>
      </c>
      <c r="B16" s="88"/>
      <c r="C16" s="91">
        <v>6</v>
      </c>
      <c r="D16" s="93" t="s">
        <v>24</v>
      </c>
      <c r="E16" s="95" t="s">
        <v>78</v>
      </c>
      <c r="F16" s="98"/>
      <c r="G16" s="88"/>
      <c r="H16" s="88"/>
      <c r="I16" s="88"/>
      <c r="J16" s="98"/>
      <c r="K16" s="99" t="s">
        <v>18</v>
      </c>
      <c r="L16" s="98" t="s">
        <v>18</v>
      </c>
      <c r="M16" s="8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"/>
  <sheetViews>
    <sheetView zoomScale="115" zoomScaleNormal="115" workbookViewId="0">
      <pane xSplit="1" topLeftCell="B1" activePane="topRight" state="frozen"/>
      <selection pane="topRight" activeCell="A15" sqref="A15:L15"/>
    </sheetView>
  </sheetViews>
  <sheetFormatPr baseColWidth="10" defaultColWidth="8.5703125" defaultRowHeight="15" x14ac:dyDescent="0.25"/>
  <cols>
    <col min="4" max="4" width="11.140625" customWidth="1"/>
    <col min="6" max="6" width="13.42578125" bestFit="1" customWidth="1"/>
    <col min="7" max="7" width="13.85546875" bestFit="1" customWidth="1"/>
    <col min="8" max="8" width="13.28515625" bestFit="1" customWidth="1"/>
    <col min="9" max="9" width="5.5703125" bestFit="1" customWidth="1"/>
    <col min="1013" max="1021" width="9.140625" customWidth="1"/>
  </cols>
  <sheetData>
    <row r="1" spans="1:26" ht="1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39" t="s">
        <v>195</v>
      </c>
      <c r="J1" s="46" t="s">
        <v>12</v>
      </c>
      <c r="K1" s="2" t="s">
        <v>52</v>
      </c>
      <c r="L1" s="39" t="s">
        <v>197</v>
      </c>
    </row>
    <row r="2" spans="1:26" x14ac:dyDescent="0.25">
      <c r="A2" s="7">
        <v>2</v>
      </c>
      <c r="B2" s="3">
        <v>1</v>
      </c>
      <c r="C2" s="26" t="s">
        <v>14</v>
      </c>
      <c r="D2" s="28" t="s">
        <v>66</v>
      </c>
      <c r="E2" s="32">
        <v>0</v>
      </c>
      <c r="F2">
        <v>0.28000000000000003</v>
      </c>
      <c r="G2" s="27">
        <v>0.3</v>
      </c>
      <c r="H2">
        <v>0.28000000000000003</v>
      </c>
      <c r="I2" s="27">
        <v>0.34</v>
      </c>
      <c r="J2" s="14" t="s">
        <v>37</v>
      </c>
      <c r="K2" s="27" t="s">
        <v>18</v>
      </c>
      <c r="L2" s="27">
        <v>2.02</v>
      </c>
    </row>
    <row r="3" spans="1:26" x14ac:dyDescent="0.25">
      <c r="A3" s="7">
        <v>3</v>
      </c>
      <c r="B3" s="3">
        <v>1</v>
      </c>
      <c r="C3" s="26" t="s">
        <v>14</v>
      </c>
      <c r="D3" s="29" t="s">
        <v>67</v>
      </c>
      <c r="E3" s="32">
        <v>0</v>
      </c>
      <c r="F3" s="8">
        <v>0.28999999999999998</v>
      </c>
      <c r="G3" s="12">
        <v>0.28999999999999998</v>
      </c>
      <c r="H3" s="8">
        <v>0.42</v>
      </c>
      <c r="I3" s="41">
        <v>0.36</v>
      </c>
      <c r="J3" s="27" t="s">
        <v>37</v>
      </c>
      <c r="K3" s="27" t="s">
        <v>18</v>
      </c>
      <c r="L3" s="27">
        <v>2.84</v>
      </c>
    </row>
    <row r="4" spans="1:26" x14ac:dyDescent="0.25">
      <c r="A4" s="7">
        <v>8</v>
      </c>
      <c r="B4" s="3">
        <v>2</v>
      </c>
      <c r="C4" s="26" t="s">
        <v>14</v>
      </c>
      <c r="D4" s="28" t="s">
        <v>68</v>
      </c>
      <c r="E4">
        <v>0</v>
      </c>
      <c r="F4" s="12">
        <v>0</v>
      </c>
      <c r="G4" s="12"/>
      <c r="H4" s="8">
        <v>0</v>
      </c>
      <c r="I4" s="12">
        <v>0</v>
      </c>
      <c r="J4" s="9" t="s">
        <v>18</v>
      </c>
      <c r="K4" s="12" t="s">
        <v>18</v>
      </c>
      <c r="L4" s="12"/>
    </row>
    <row r="5" spans="1:26" ht="15" customHeight="1" x14ac:dyDescent="0.25">
      <c r="A5" s="7">
        <v>9</v>
      </c>
      <c r="B5" s="3">
        <v>2</v>
      </c>
      <c r="C5" s="26" t="s">
        <v>14</v>
      </c>
      <c r="D5" s="28" t="s">
        <v>69</v>
      </c>
      <c r="E5" s="12">
        <v>3</v>
      </c>
      <c r="F5" s="8">
        <v>0.26</v>
      </c>
      <c r="G5" s="12">
        <v>0.32</v>
      </c>
      <c r="H5" s="8">
        <v>0.31</v>
      </c>
      <c r="I5" s="12">
        <v>0.24</v>
      </c>
      <c r="J5" s="9" t="s">
        <v>37</v>
      </c>
      <c r="K5" s="12" t="s">
        <v>18</v>
      </c>
      <c r="L5" s="41">
        <v>1.38</v>
      </c>
    </row>
    <row r="6" spans="1:26" x14ac:dyDescent="0.25">
      <c r="A6" s="7">
        <v>10</v>
      </c>
      <c r="B6" s="3">
        <v>2</v>
      </c>
      <c r="C6" s="26" t="s">
        <v>14</v>
      </c>
      <c r="D6" s="28" t="s">
        <v>70</v>
      </c>
      <c r="E6" s="12">
        <v>3</v>
      </c>
      <c r="F6" s="8">
        <v>0.28999999999999998</v>
      </c>
      <c r="G6" s="12">
        <v>0.28999999999999998</v>
      </c>
      <c r="H6" s="8">
        <v>0.08</v>
      </c>
      <c r="I6" s="12">
        <v>0.21</v>
      </c>
      <c r="J6" s="9" t="s">
        <v>37</v>
      </c>
      <c r="K6" s="12" t="s">
        <v>18</v>
      </c>
      <c r="L6" s="41">
        <v>0.78</v>
      </c>
    </row>
    <row r="7" spans="1:26" x14ac:dyDescent="0.25">
      <c r="A7" s="7">
        <v>18</v>
      </c>
      <c r="B7" s="3">
        <v>3</v>
      </c>
      <c r="C7" s="31" t="s">
        <v>24</v>
      </c>
      <c r="D7" s="28" t="s">
        <v>71</v>
      </c>
      <c r="E7" s="27">
        <v>2</v>
      </c>
      <c r="F7">
        <v>0.2</v>
      </c>
      <c r="G7" s="40">
        <v>0.2</v>
      </c>
      <c r="H7" s="40">
        <v>0.33</v>
      </c>
      <c r="I7">
        <v>0.32</v>
      </c>
      <c r="J7" s="40" t="s">
        <v>37</v>
      </c>
      <c r="K7" s="27" t="s">
        <v>18</v>
      </c>
      <c r="L7" s="41">
        <v>1.41</v>
      </c>
      <c r="W7" s="87"/>
    </row>
    <row r="8" spans="1:26" x14ac:dyDescent="0.25">
      <c r="A8" s="7">
        <v>19</v>
      </c>
      <c r="B8" s="3">
        <v>3</v>
      </c>
      <c r="C8" s="31" t="s">
        <v>24</v>
      </c>
      <c r="D8" s="28" t="s">
        <v>72</v>
      </c>
      <c r="E8" s="12">
        <v>3</v>
      </c>
      <c r="F8">
        <v>0.32990000000000003</v>
      </c>
      <c r="G8">
        <v>0.1386</v>
      </c>
      <c r="H8">
        <v>0.24279999999999999</v>
      </c>
      <c r="I8" s="12">
        <v>0.2</v>
      </c>
      <c r="J8" s="40" t="s">
        <v>37</v>
      </c>
      <c r="K8" s="27" t="s">
        <v>18</v>
      </c>
      <c r="L8">
        <v>2.1534</v>
      </c>
      <c r="N8" s="87"/>
    </row>
    <row r="9" spans="1:26" x14ac:dyDescent="0.25">
      <c r="A9" s="7">
        <v>26</v>
      </c>
      <c r="B9" s="3">
        <v>4</v>
      </c>
      <c r="C9" s="31" t="s">
        <v>24</v>
      </c>
      <c r="D9" s="28" t="s">
        <v>73</v>
      </c>
      <c r="E9" s="12">
        <v>2</v>
      </c>
      <c r="F9">
        <v>0.33700000000000002</v>
      </c>
      <c r="G9">
        <v>0.27379999999999999</v>
      </c>
      <c r="H9">
        <v>0.15690000000000001</v>
      </c>
      <c r="I9" s="12">
        <v>0.18</v>
      </c>
      <c r="J9" s="9" t="s">
        <v>37</v>
      </c>
      <c r="K9" s="12" t="s">
        <v>18</v>
      </c>
      <c r="L9">
        <v>0.5101</v>
      </c>
      <c r="N9" s="87"/>
    </row>
    <row r="10" spans="1:26" x14ac:dyDescent="0.25">
      <c r="A10" s="7">
        <v>30</v>
      </c>
      <c r="B10" s="3">
        <v>4</v>
      </c>
      <c r="C10" s="31" t="s">
        <v>24</v>
      </c>
      <c r="D10" s="28" t="s">
        <v>74</v>
      </c>
      <c r="E10" s="32">
        <v>0</v>
      </c>
      <c r="F10">
        <v>0.32719999999999999</v>
      </c>
      <c r="G10">
        <v>0.2898</v>
      </c>
      <c r="H10">
        <v>0.2898</v>
      </c>
      <c r="I10" s="12">
        <v>0.28999999999999998</v>
      </c>
      <c r="J10" s="9" t="s">
        <v>37</v>
      </c>
      <c r="K10" s="12" t="s">
        <v>18</v>
      </c>
      <c r="L10">
        <v>1.9894000000000001</v>
      </c>
    </row>
    <row r="11" spans="1:26" x14ac:dyDescent="0.25">
      <c r="A11" s="7">
        <v>36</v>
      </c>
      <c r="B11" s="3">
        <v>5</v>
      </c>
      <c r="C11" s="26" t="s">
        <v>14</v>
      </c>
      <c r="D11" s="28" t="s">
        <v>75</v>
      </c>
      <c r="E11" s="12">
        <v>3</v>
      </c>
      <c r="F11">
        <v>0.13070000000000001</v>
      </c>
      <c r="G11">
        <v>0.17499999999999999</v>
      </c>
      <c r="H11">
        <v>0.1077</v>
      </c>
      <c r="I11" s="12">
        <v>0.17</v>
      </c>
      <c r="J11" s="9" t="s">
        <v>37</v>
      </c>
      <c r="K11" s="12" t="s">
        <v>18</v>
      </c>
      <c r="L11">
        <v>0.44969999999999999</v>
      </c>
      <c r="Z11" s="87"/>
    </row>
    <row r="12" spans="1:26" x14ac:dyDescent="0.25">
      <c r="A12" s="7">
        <v>40</v>
      </c>
      <c r="B12" s="3">
        <v>5</v>
      </c>
      <c r="C12" s="26" t="s">
        <v>14</v>
      </c>
      <c r="D12" s="28" t="s">
        <v>76</v>
      </c>
      <c r="E12" s="32">
        <v>0</v>
      </c>
      <c r="F12">
        <v>0.28649999999999998</v>
      </c>
      <c r="G12">
        <v>0.22109999999999999</v>
      </c>
      <c r="H12">
        <v>0.29830000000000001</v>
      </c>
      <c r="I12" s="12">
        <v>0.15</v>
      </c>
      <c r="J12" s="9" t="s">
        <v>37</v>
      </c>
      <c r="K12" s="12" t="s">
        <v>18</v>
      </c>
      <c r="L12">
        <v>1.5498000000000001</v>
      </c>
      <c r="M12" s="41"/>
      <c r="N12" s="87"/>
    </row>
    <row r="13" spans="1:26" x14ac:dyDescent="0.25">
      <c r="A13" s="7">
        <v>44</v>
      </c>
      <c r="B13" s="3">
        <v>5</v>
      </c>
      <c r="C13" s="26" t="s">
        <v>14</v>
      </c>
      <c r="D13" s="28"/>
      <c r="E13">
        <v>0</v>
      </c>
      <c r="F13" s="12">
        <v>0</v>
      </c>
      <c r="G13" s="12"/>
      <c r="H13" s="8">
        <v>0</v>
      </c>
      <c r="I13" s="12">
        <v>0</v>
      </c>
      <c r="J13" s="9" t="s">
        <v>18</v>
      </c>
      <c r="K13" s="12" t="s">
        <v>18</v>
      </c>
      <c r="L13" s="41"/>
      <c r="N13" s="87"/>
    </row>
    <row r="14" spans="1:26" x14ac:dyDescent="0.25">
      <c r="A14" s="7">
        <v>47</v>
      </c>
      <c r="B14" s="3">
        <v>6</v>
      </c>
      <c r="C14" s="31" t="s">
        <v>24</v>
      </c>
      <c r="D14" s="28" t="s">
        <v>77</v>
      </c>
      <c r="E14" s="12">
        <v>4</v>
      </c>
      <c r="F14">
        <v>0.32479999999999998</v>
      </c>
      <c r="G14">
        <v>0.24809999999999999</v>
      </c>
      <c r="H14">
        <v>0.33510000000000001</v>
      </c>
      <c r="I14" s="12">
        <v>0.39</v>
      </c>
      <c r="J14" s="9" t="s">
        <v>37</v>
      </c>
      <c r="K14" s="12" t="s">
        <v>18</v>
      </c>
      <c r="L14">
        <v>3.7890000000000001</v>
      </c>
      <c r="N14" s="87"/>
    </row>
    <row r="15" spans="1:26" x14ac:dyDescent="0.25">
      <c r="A15" s="7">
        <v>52</v>
      </c>
      <c r="B15" s="3">
        <v>6</v>
      </c>
      <c r="C15" s="31" t="s">
        <v>24</v>
      </c>
      <c r="D15" s="28" t="s">
        <v>78</v>
      </c>
      <c r="E15" s="43">
        <v>7</v>
      </c>
      <c r="F15">
        <v>0.24429999999999999</v>
      </c>
      <c r="G15">
        <v>0.17419999999999999</v>
      </c>
      <c r="H15">
        <v>0.17030000000000001</v>
      </c>
      <c r="I15" s="43">
        <v>0.17</v>
      </c>
      <c r="J15" s="48" t="s">
        <v>37</v>
      </c>
      <c r="K15" s="43" t="s">
        <v>18</v>
      </c>
      <c r="L15">
        <v>0.88390000000000002</v>
      </c>
      <c r="W15" s="87"/>
    </row>
    <row r="16" spans="1:26" x14ac:dyDescent="0.25">
      <c r="N16" s="87"/>
      <c r="W16" s="87"/>
    </row>
    <row r="17" spans="14:23" x14ac:dyDescent="0.25">
      <c r="N17" s="87"/>
    </row>
    <row r="18" spans="14:23" x14ac:dyDescent="0.25">
      <c r="W18" s="8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7"/>
  <sheetViews>
    <sheetView zoomScale="130" zoomScaleNormal="130" workbookViewId="0">
      <pane xSplit="1" topLeftCell="B1" activePane="topRight" state="frozen"/>
      <selection pane="topRight" activeCell="L1" sqref="L1"/>
    </sheetView>
  </sheetViews>
  <sheetFormatPr baseColWidth="10" defaultColWidth="8.5703125" defaultRowHeight="15" x14ac:dyDescent="0.25"/>
  <cols>
    <col min="4" max="4" width="11.140625" bestFit="1" customWidth="1"/>
    <col min="1013" max="1021" width="9.140625" customWidth="1"/>
  </cols>
  <sheetData>
    <row r="1" spans="1:23" ht="1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46" t="s">
        <v>12</v>
      </c>
      <c r="K1" s="2" t="s">
        <v>52</v>
      </c>
      <c r="L1" s="39" t="s">
        <v>197</v>
      </c>
    </row>
    <row r="2" spans="1:23" x14ac:dyDescent="0.25">
      <c r="A2" s="7">
        <v>2</v>
      </c>
      <c r="B2" s="3">
        <v>1</v>
      </c>
      <c r="C2" s="26" t="s">
        <v>14</v>
      </c>
      <c r="D2" s="28" t="s">
        <v>79</v>
      </c>
      <c r="E2" s="27">
        <v>4</v>
      </c>
      <c r="F2">
        <v>0.30220000000000002</v>
      </c>
      <c r="G2">
        <v>0.30769999999999997</v>
      </c>
      <c r="H2">
        <v>0.32269999999999999</v>
      </c>
      <c r="I2" s="27">
        <v>0.36</v>
      </c>
      <c r="J2" s="14" t="s">
        <v>37</v>
      </c>
      <c r="K2" s="27" t="s">
        <v>18</v>
      </c>
      <c r="L2">
        <v>1.2996000000000001</v>
      </c>
      <c r="M2" s="27"/>
    </row>
    <row r="3" spans="1:23" x14ac:dyDescent="0.25">
      <c r="A3" s="7">
        <v>3</v>
      </c>
      <c r="B3" s="3">
        <v>1</v>
      </c>
      <c r="C3" s="26" t="s">
        <v>14</v>
      </c>
      <c r="D3" s="29" t="s">
        <v>80</v>
      </c>
      <c r="E3" s="12">
        <v>3</v>
      </c>
      <c r="F3">
        <v>0.30220000000000002</v>
      </c>
      <c r="G3">
        <v>0.30769999999999997</v>
      </c>
      <c r="H3">
        <v>0.32269999999999999</v>
      </c>
      <c r="I3" s="41">
        <v>0.41</v>
      </c>
      <c r="J3" s="27" t="s">
        <v>37</v>
      </c>
      <c r="K3" s="27" t="s">
        <v>18</v>
      </c>
      <c r="L3">
        <v>1.2996000000000001</v>
      </c>
      <c r="W3" s="87"/>
    </row>
    <row r="4" spans="1:23" x14ac:dyDescent="0.25">
      <c r="A4" s="7">
        <v>5</v>
      </c>
      <c r="B4" s="3">
        <v>1</v>
      </c>
      <c r="C4" s="26" t="s">
        <v>14</v>
      </c>
      <c r="D4" s="28" t="s">
        <v>81</v>
      </c>
      <c r="E4" s="12">
        <v>3</v>
      </c>
      <c r="F4">
        <v>0.53839999999999999</v>
      </c>
      <c r="G4">
        <v>0.50729999999999997</v>
      </c>
      <c r="H4">
        <v>0.48060000000000003</v>
      </c>
      <c r="I4" s="12">
        <v>0.47</v>
      </c>
      <c r="J4" s="9" t="s">
        <v>37</v>
      </c>
      <c r="K4" s="27" t="s">
        <v>18</v>
      </c>
      <c r="L4">
        <v>1.5709</v>
      </c>
      <c r="W4" s="87"/>
    </row>
    <row r="5" spans="1:23" x14ac:dyDescent="0.25">
      <c r="A5" s="7">
        <v>8</v>
      </c>
      <c r="B5" s="3">
        <v>2</v>
      </c>
      <c r="C5" s="26" t="s">
        <v>14</v>
      </c>
      <c r="D5" s="28" t="s">
        <v>82</v>
      </c>
      <c r="E5" s="32">
        <v>0</v>
      </c>
      <c r="F5">
        <v>0.24890000000000001</v>
      </c>
      <c r="G5">
        <v>0.28270000000000001</v>
      </c>
      <c r="H5">
        <v>0.28270000000000001</v>
      </c>
      <c r="I5" s="12">
        <v>0.35</v>
      </c>
      <c r="J5" s="9" t="s">
        <v>37</v>
      </c>
      <c r="K5" s="12" t="s">
        <v>37</v>
      </c>
      <c r="L5">
        <v>0.47339999999999999</v>
      </c>
    </row>
    <row r="6" spans="1:23" x14ac:dyDescent="0.25">
      <c r="A6" s="7">
        <v>9</v>
      </c>
      <c r="B6" s="3">
        <v>2</v>
      </c>
      <c r="C6" s="26" t="s">
        <v>14</v>
      </c>
      <c r="D6" s="28" t="s">
        <v>83</v>
      </c>
      <c r="E6" s="12">
        <v>4</v>
      </c>
      <c r="F6">
        <v>0.29039999999999999</v>
      </c>
      <c r="G6">
        <v>0.2253</v>
      </c>
      <c r="H6">
        <v>0.23780000000000001</v>
      </c>
      <c r="I6" s="12">
        <v>0.3</v>
      </c>
      <c r="J6" s="9" t="s">
        <v>37</v>
      </c>
      <c r="K6" s="27" t="s">
        <v>18</v>
      </c>
      <c r="L6">
        <v>0.3977</v>
      </c>
    </row>
    <row r="7" spans="1:23" x14ac:dyDescent="0.25">
      <c r="A7" s="7">
        <v>10</v>
      </c>
      <c r="B7" s="3">
        <v>2</v>
      </c>
      <c r="C7" s="26" t="s">
        <v>14</v>
      </c>
      <c r="D7" s="28" t="s">
        <v>84</v>
      </c>
      <c r="E7" s="12">
        <v>2</v>
      </c>
      <c r="F7">
        <v>0.18340000000000001</v>
      </c>
      <c r="G7">
        <v>0.23100000000000001</v>
      </c>
      <c r="H7">
        <v>0.23100000000000001</v>
      </c>
      <c r="I7" s="12">
        <v>0.14000000000000001</v>
      </c>
      <c r="J7" s="9" t="s">
        <v>37</v>
      </c>
      <c r="K7" s="27" t="s">
        <v>18</v>
      </c>
      <c r="L7">
        <v>0.72709999999999997</v>
      </c>
      <c r="N7" s="87"/>
      <c r="W7" s="87"/>
    </row>
    <row r="8" spans="1:23" x14ac:dyDescent="0.25">
      <c r="A8" s="7">
        <v>18</v>
      </c>
      <c r="B8" s="3">
        <v>3</v>
      </c>
      <c r="C8" s="31" t="s">
        <v>24</v>
      </c>
      <c r="D8" s="28" t="s">
        <v>85</v>
      </c>
      <c r="E8" s="27">
        <v>2</v>
      </c>
      <c r="F8">
        <v>0.3483</v>
      </c>
      <c r="G8">
        <v>0.37819999999999998</v>
      </c>
      <c r="H8">
        <v>0.37819999999999998</v>
      </c>
      <c r="I8" s="27">
        <v>0.41</v>
      </c>
      <c r="J8" s="40" t="s">
        <v>37</v>
      </c>
      <c r="K8" s="27" t="s">
        <v>18</v>
      </c>
      <c r="L8">
        <v>1.3266</v>
      </c>
    </row>
    <row r="9" spans="1:23" x14ac:dyDescent="0.25">
      <c r="A9" s="7">
        <v>19</v>
      </c>
      <c r="B9" s="3">
        <v>3</v>
      </c>
      <c r="C9" s="31" t="s">
        <v>24</v>
      </c>
      <c r="D9" s="28" t="s">
        <v>86</v>
      </c>
      <c r="E9" s="12">
        <v>3</v>
      </c>
      <c r="F9">
        <v>0.38169999999999998</v>
      </c>
      <c r="G9">
        <v>0.37540000000000001</v>
      </c>
      <c r="H9">
        <v>0.36520000000000002</v>
      </c>
      <c r="I9" s="12">
        <v>0.38</v>
      </c>
      <c r="J9" s="40" t="s">
        <v>37</v>
      </c>
      <c r="K9" s="27" t="s">
        <v>18</v>
      </c>
      <c r="L9">
        <v>1.8472999999999999</v>
      </c>
    </row>
    <row r="10" spans="1:23" x14ac:dyDescent="0.25">
      <c r="A10" s="7">
        <v>26</v>
      </c>
      <c r="B10" s="3">
        <v>4</v>
      </c>
      <c r="C10" s="31" t="s">
        <v>24</v>
      </c>
      <c r="D10" s="28" t="s">
        <v>87</v>
      </c>
      <c r="E10" s="12">
        <v>2</v>
      </c>
      <c r="F10">
        <v>0.25540000000000002</v>
      </c>
      <c r="G10">
        <v>0.22339999999999999</v>
      </c>
      <c r="H10">
        <v>0.19059999999999999</v>
      </c>
      <c r="I10" s="12">
        <v>0.23</v>
      </c>
      <c r="J10" s="9" t="s">
        <v>37</v>
      </c>
      <c r="K10" s="12" t="s">
        <v>18</v>
      </c>
      <c r="L10">
        <v>0.6008</v>
      </c>
      <c r="W10" s="87"/>
    </row>
    <row r="11" spans="1:23" x14ac:dyDescent="0.25">
      <c r="A11" s="7">
        <v>30</v>
      </c>
      <c r="B11" s="3">
        <v>4</v>
      </c>
      <c r="C11" s="31" t="s">
        <v>24</v>
      </c>
      <c r="D11" s="28" t="s">
        <v>88</v>
      </c>
      <c r="E11" s="12">
        <v>2</v>
      </c>
      <c r="F11">
        <v>0.36430000000000001</v>
      </c>
      <c r="G11">
        <v>0.36430000000000001</v>
      </c>
      <c r="H11">
        <v>0.36430000000000001</v>
      </c>
      <c r="I11" s="12">
        <v>0.27</v>
      </c>
      <c r="J11" s="9" t="s">
        <v>37</v>
      </c>
      <c r="K11" s="12" t="s">
        <v>18</v>
      </c>
      <c r="L11">
        <v>2.1202000000000001</v>
      </c>
      <c r="N11" s="87"/>
      <c r="W11" s="87"/>
    </row>
    <row r="12" spans="1:23" x14ac:dyDescent="0.25">
      <c r="A12" s="7">
        <v>36</v>
      </c>
      <c r="B12" s="3">
        <v>5</v>
      </c>
      <c r="C12" s="26" t="s">
        <v>14</v>
      </c>
      <c r="D12" s="28" t="s">
        <v>89</v>
      </c>
      <c r="E12" s="12">
        <v>4</v>
      </c>
      <c r="F12">
        <v>0.42830000000000001</v>
      </c>
      <c r="G12">
        <v>0.39219999999999999</v>
      </c>
      <c r="H12">
        <v>0.39219999999999999</v>
      </c>
      <c r="I12" s="12">
        <v>0.32</v>
      </c>
      <c r="J12" s="9" t="s">
        <v>37</v>
      </c>
      <c r="K12" s="12" t="s">
        <v>18</v>
      </c>
      <c r="L12">
        <v>0.58609999999999995</v>
      </c>
      <c r="N12" s="87"/>
      <c r="W12" s="87"/>
    </row>
    <row r="13" spans="1:23" x14ac:dyDescent="0.25">
      <c r="A13" s="7">
        <v>40</v>
      </c>
      <c r="B13" s="3">
        <v>5</v>
      </c>
      <c r="C13" s="26" t="s">
        <v>14</v>
      </c>
      <c r="D13" s="28" t="s">
        <v>90</v>
      </c>
      <c r="E13" s="12">
        <v>3</v>
      </c>
      <c r="F13">
        <v>0.57740000000000002</v>
      </c>
      <c r="G13">
        <v>0.26429999999999998</v>
      </c>
      <c r="H13">
        <v>0.32450000000000001</v>
      </c>
      <c r="I13" s="12">
        <v>0.43</v>
      </c>
      <c r="J13" s="9" t="s">
        <v>37</v>
      </c>
      <c r="K13" s="12" t="s">
        <v>18</v>
      </c>
      <c r="L13">
        <v>1.7241</v>
      </c>
      <c r="W13" s="87"/>
    </row>
    <row r="14" spans="1:23" x14ac:dyDescent="0.25">
      <c r="A14" s="7">
        <v>44</v>
      </c>
      <c r="B14" s="3">
        <v>5</v>
      </c>
      <c r="C14" s="26" t="s">
        <v>14</v>
      </c>
      <c r="D14" s="28" t="s">
        <v>91</v>
      </c>
      <c r="E14" s="12">
        <v>2</v>
      </c>
      <c r="F14">
        <v>0.20230000000000001</v>
      </c>
      <c r="G14">
        <v>0.22520000000000001</v>
      </c>
      <c r="H14">
        <v>0.22520000000000001</v>
      </c>
      <c r="I14" s="12">
        <v>0.24</v>
      </c>
      <c r="J14" s="9" t="s">
        <v>37</v>
      </c>
      <c r="K14" s="12" t="s">
        <v>18</v>
      </c>
      <c r="L14">
        <v>0.84260000000000002</v>
      </c>
      <c r="N14" s="87"/>
      <c r="W14" s="87"/>
    </row>
    <row r="15" spans="1:23" x14ac:dyDescent="0.25">
      <c r="A15" s="7">
        <v>47</v>
      </c>
      <c r="B15" s="3">
        <v>6</v>
      </c>
      <c r="C15" s="31" t="s">
        <v>24</v>
      </c>
      <c r="D15" s="28" t="s">
        <v>92</v>
      </c>
      <c r="E15" s="12">
        <v>5</v>
      </c>
      <c r="F15">
        <v>0.4829</v>
      </c>
      <c r="G15">
        <v>0.4829</v>
      </c>
      <c r="H15">
        <v>0.25619999999999998</v>
      </c>
      <c r="I15" s="12">
        <v>0.35</v>
      </c>
      <c r="J15" s="9" t="s">
        <v>37</v>
      </c>
      <c r="K15" s="12" t="s">
        <v>18</v>
      </c>
      <c r="L15">
        <v>3.4198</v>
      </c>
      <c r="N15" s="87"/>
      <c r="W15" s="87"/>
    </row>
    <row r="16" spans="1:23" x14ac:dyDescent="0.25">
      <c r="A16" s="7">
        <v>52</v>
      </c>
      <c r="B16" s="3">
        <v>6</v>
      </c>
      <c r="C16" s="31" t="s">
        <v>24</v>
      </c>
      <c r="D16" s="28" t="s">
        <v>93</v>
      </c>
      <c r="E16" s="43">
        <v>5</v>
      </c>
      <c r="F16">
        <v>0.27839999999999998</v>
      </c>
      <c r="G16">
        <v>0.27839999999999998</v>
      </c>
      <c r="H16">
        <v>0.27839999999999998</v>
      </c>
      <c r="I16" s="43">
        <v>0.23</v>
      </c>
      <c r="J16" s="48" t="s">
        <v>37</v>
      </c>
      <c r="K16" s="27" t="s">
        <v>18</v>
      </c>
      <c r="L16">
        <v>1.6216999999999999</v>
      </c>
      <c r="N16" s="87"/>
    </row>
    <row r="17" spans="23:23" x14ac:dyDescent="0.25">
      <c r="W17" s="8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3CF5-3ADC-4FA2-AC32-4B11FD527DB8}">
  <dimension ref="A1:O20"/>
  <sheetViews>
    <sheetView zoomScale="115" zoomScaleNormal="115" workbookViewId="0">
      <pane xSplit="1" topLeftCell="B1" activePane="topRight" state="frozen"/>
      <selection pane="topRight" activeCell="B8" sqref="B7:B8"/>
    </sheetView>
  </sheetViews>
  <sheetFormatPr baseColWidth="10" defaultRowHeight="15" x14ac:dyDescent="0.25"/>
  <cols>
    <col min="5" max="5" width="7.5703125" customWidth="1"/>
    <col min="6" max="6" width="7" customWidth="1"/>
    <col min="7" max="7" width="7.42578125" customWidth="1"/>
    <col min="10" max="10" width="11.42578125" style="79"/>
  </cols>
  <sheetData>
    <row r="1" spans="1:15" ht="36" x14ac:dyDescent="0.25">
      <c r="A1" s="1" t="s">
        <v>3</v>
      </c>
      <c r="B1" s="21" t="s">
        <v>1</v>
      </c>
      <c r="C1" s="20" t="s">
        <v>2</v>
      </c>
      <c r="D1" s="2" t="s">
        <v>7</v>
      </c>
      <c r="E1" s="45" t="s">
        <v>9</v>
      </c>
      <c r="F1" s="2" t="s">
        <v>10</v>
      </c>
      <c r="G1" s="45" t="s">
        <v>11</v>
      </c>
      <c r="H1" s="2" t="s">
        <v>195</v>
      </c>
      <c r="I1" s="46" t="s">
        <v>12</v>
      </c>
      <c r="J1" s="84" t="s">
        <v>52</v>
      </c>
      <c r="K1" s="39" t="s">
        <v>197</v>
      </c>
    </row>
    <row r="2" spans="1:15" x14ac:dyDescent="0.25">
      <c r="A2" s="7">
        <v>2</v>
      </c>
      <c r="B2" s="3">
        <v>1</v>
      </c>
      <c r="C2" s="26" t="s">
        <v>14</v>
      </c>
      <c r="D2" s="27">
        <v>4</v>
      </c>
      <c r="E2">
        <v>0.56130000000000002</v>
      </c>
      <c r="F2">
        <v>0.44390000000000002</v>
      </c>
      <c r="G2">
        <v>0.52439999999999998</v>
      </c>
      <c r="H2" s="27">
        <v>0.36</v>
      </c>
      <c r="I2" s="14" t="s">
        <v>37</v>
      </c>
      <c r="J2" s="78" t="s">
        <v>18</v>
      </c>
      <c r="K2">
        <v>1.7943</v>
      </c>
    </row>
    <row r="3" spans="1:15" x14ac:dyDescent="0.25">
      <c r="A3" s="7">
        <v>3</v>
      </c>
      <c r="B3" s="3">
        <v>1</v>
      </c>
      <c r="C3" s="26" t="s">
        <v>14</v>
      </c>
      <c r="D3" s="12">
        <v>3</v>
      </c>
      <c r="E3">
        <v>0.62639999999999996</v>
      </c>
      <c r="F3">
        <v>0.62639999999999996</v>
      </c>
      <c r="G3">
        <v>0.45910000000000001</v>
      </c>
      <c r="H3" s="41">
        <v>0.41</v>
      </c>
      <c r="I3" s="27" t="s">
        <v>37</v>
      </c>
      <c r="J3" s="78" t="s">
        <v>18</v>
      </c>
      <c r="K3">
        <v>1.9179999999999999</v>
      </c>
    </row>
    <row r="4" spans="1:15" x14ac:dyDescent="0.25">
      <c r="A4" s="7">
        <v>5</v>
      </c>
      <c r="B4" s="3">
        <v>1</v>
      </c>
      <c r="C4" s="26" t="s">
        <v>14</v>
      </c>
      <c r="D4" s="12">
        <v>3</v>
      </c>
      <c r="E4">
        <v>0.61629999999999996</v>
      </c>
      <c r="F4">
        <v>0.45910000000000001</v>
      </c>
      <c r="G4">
        <v>0.57350000000000001</v>
      </c>
      <c r="H4" s="12">
        <v>0.47</v>
      </c>
      <c r="I4" s="9" t="s">
        <v>37</v>
      </c>
      <c r="J4" s="78" t="s">
        <v>18</v>
      </c>
      <c r="K4">
        <v>1.4717</v>
      </c>
    </row>
    <row r="5" spans="1:15" x14ac:dyDescent="0.25">
      <c r="A5" s="7">
        <v>9</v>
      </c>
      <c r="B5" s="3">
        <v>2</v>
      </c>
      <c r="C5" s="26" t="s">
        <v>14</v>
      </c>
      <c r="D5" s="12">
        <v>4</v>
      </c>
      <c r="E5">
        <v>0.2475</v>
      </c>
      <c r="F5">
        <v>0.18360000000000001</v>
      </c>
      <c r="G5">
        <v>0.2442</v>
      </c>
      <c r="H5" s="12">
        <v>0.3</v>
      </c>
      <c r="I5" s="9" t="s">
        <v>37</v>
      </c>
      <c r="J5" s="78" t="s">
        <v>18</v>
      </c>
      <c r="K5">
        <v>0.5131</v>
      </c>
    </row>
    <row r="6" spans="1:15" x14ac:dyDescent="0.25">
      <c r="A6" s="7">
        <v>10</v>
      </c>
      <c r="B6" s="3">
        <v>2</v>
      </c>
      <c r="C6" s="26" t="s">
        <v>14</v>
      </c>
      <c r="D6" s="12">
        <v>2</v>
      </c>
      <c r="E6">
        <v>0.48809999999999998</v>
      </c>
      <c r="F6">
        <v>0.44059999999999999</v>
      </c>
      <c r="G6">
        <v>0.44059999999999999</v>
      </c>
      <c r="H6" s="12">
        <v>0.14000000000000001</v>
      </c>
      <c r="I6" s="9" t="s">
        <v>37</v>
      </c>
      <c r="J6" s="80" t="s">
        <v>37</v>
      </c>
      <c r="K6">
        <v>1.1505000000000001</v>
      </c>
    </row>
    <row r="7" spans="1:15" x14ac:dyDescent="0.25">
      <c r="A7" s="7">
        <v>18</v>
      </c>
      <c r="B7" s="3">
        <v>3</v>
      </c>
      <c r="C7" s="31" t="s">
        <v>24</v>
      </c>
      <c r="D7" s="27">
        <v>2</v>
      </c>
      <c r="E7">
        <v>0.37769999999999998</v>
      </c>
      <c r="F7">
        <v>0.50009999999999999</v>
      </c>
      <c r="G7">
        <v>0.29210000000000003</v>
      </c>
      <c r="H7" s="27">
        <v>0.41</v>
      </c>
      <c r="I7" s="40" t="s">
        <v>37</v>
      </c>
      <c r="J7" s="78" t="s">
        <v>18</v>
      </c>
      <c r="K7">
        <v>1.6276999999999999</v>
      </c>
    </row>
    <row r="8" spans="1:15" x14ac:dyDescent="0.25">
      <c r="A8" s="7">
        <v>19</v>
      </c>
      <c r="B8" s="3">
        <v>3</v>
      </c>
      <c r="C8" s="31" t="s">
        <v>24</v>
      </c>
      <c r="D8" s="12">
        <v>3</v>
      </c>
      <c r="E8">
        <v>0.70940000000000003</v>
      </c>
      <c r="F8">
        <v>0.70940000000000003</v>
      </c>
      <c r="G8">
        <v>0.68869999999999998</v>
      </c>
      <c r="H8" s="12">
        <v>0.38</v>
      </c>
      <c r="I8" s="40" t="s">
        <v>37</v>
      </c>
      <c r="J8" s="78" t="s">
        <v>18</v>
      </c>
      <c r="K8">
        <v>1.6</v>
      </c>
    </row>
    <row r="9" spans="1:15" x14ac:dyDescent="0.25">
      <c r="A9" s="7">
        <v>26</v>
      </c>
      <c r="B9" s="3">
        <v>4</v>
      </c>
      <c r="C9" s="31" t="s">
        <v>24</v>
      </c>
      <c r="D9" s="12">
        <v>2</v>
      </c>
      <c r="E9">
        <v>0.30890000000000001</v>
      </c>
      <c r="F9">
        <v>0.28760000000000002</v>
      </c>
      <c r="G9">
        <v>0.34570000000000001</v>
      </c>
      <c r="H9" s="12">
        <v>0.23</v>
      </c>
      <c r="I9" s="9" t="s">
        <v>37</v>
      </c>
      <c r="J9" s="80" t="s">
        <v>18</v>
      </c>
      <c r="K9">
        <v>0.5413</v>
      </c>
    </row>
    <row r="10" spans="1:15" x14ac:dyDescent="0.25">
      <c r="A10" s="7">
        <v>30</v>
      </c>
      <c r="B10" s="3">
        <v>4</v>
      </c>
      <c r="C10" s="31" t="s">
        <v>24</v>
      </c>
      <c r="D10" s="12">
        <v>2</v>
      </c>
      <c r="E10">
        <v>0.26390000000000002</v>
      </c>
      <c r="F10">
        <v>0.2762</v>
      </c>
      <c r="G10">
        <v>0.2762</v>
      </c>
      <c r="H10" s="12">
        <v>0.27</v>
      </c>
      <c r="I10" s="9" t="s">
        <v>37</v>
      </c>
      <c r="J10" s="80" t="s">
        <v>18</v>
      </c>
      <c r="K10">
        <v>1.5622</v>
      </c>
    </row>
    <row r="11" spans="1:15" x14ac:dyDescent="0.25">
      <c r="A11" s="7">
        <v>36</v>
      </c>
      <c r="B11" s="3">
        <v>5</v>
      </c>
      <c r="C11" s="26" t="s">
        <v>14</v>
      </c>
      <c r="D11" s="12">
        <v>4</v>
      </c>
      <c r="E11">
        <v>0.20119999999999999</v>
      </c>
      <c r="F11">
        <v>0.1827</v>
      </c>
      <c r="G11">
        <v>0.1827</v>
      </c>
      <c r="H11" s="12">
        <v>0.32</v>
      </c>
      <c r="I11" s="9" t="s">
        <v>37</v>
      </c>
      <c r="J11" s="80" t="s">
        <v>18</v>
      </c>
      <c r="K11">
        <v>0.54330000000000001</v>
      </c>
    </row>
    <row r="12" spans="1:15" x14ac:dyDescent="0.25">
      <c r="A12" s="7">
        <v>40</v>
      </c>
      <c r="B12" s="3">
        <v>5</v>
      </c>
      <c r="C12" s="26" t="s">
        <v>14</v>
      </c>
      <c r="D12" s="12">
        <v>3</v>
      </c>
      <c r="E12">
        <v>0.46139999999999998</v>
      </c>
      <c r="F12">
        <v>0.45140000000000002</v>
      </c>
      <c r="G12">
        <v>0.48299999999999998</v>
      </c>
      <c r="H12" s="12">
        <v>0.43</v>
      </c>
      <c r="I12" s="9" t="s">
        <v>37</v>
      </c>
      <c r="J12" s="80" t="s">
        <v>18</v>
      </c>
      <c r="K12">
        <v>1.6327</v>
      </c>
    </row>
    <row r="13" spans="1:15" x14ac:dyDescent="0.25">
      <c r="A13" s="7">
        <v>47</v>
      </c>
      <c r="B13" s="3">
        <v>6</v>
      </c>
      <c r="C13" s="31" t="s">
        <v>24</v>
      </c>
      <c r="D13" s="12">
        <v>5</v>
      </c>
      <c r="E13">
        <v>0.90920000000000001</v>
      </c>
      <c r="F13">
        <v>1.0132000000000001</v>
      </c>
      <c r="G13">
        <v>1.0186999999999999</v>
      </c>
      <c r="H13" s="12">
        <v>0.35</v>
      </c>
      <c r="I13" s="9" t="s">
        <v>37</v>
      </c>
      <c r="J13" s="80" t="s">
        <v>18</v>
      </c>
      <c r="K13">
        <v>4.1109999999999998</v>
      </c>
    </row>
    <row r="14" spans="1:15" x14ac:dyDescent="0.25">
      <c r="A14" s="7">
        <v>52</v>
      </c>
      <c r="B14" s="3">
        <v>6</v>
      </c>
      <c r="C14" s="31" t="s">
        <v>24</v>
      </c>
      <c r="D14" s="43">
        <v>5</v>
      </c>
      <c r="E14">
        <v>0.2366</v>
      </c>
      <c r="F14">
        <v>0.2366</v>
      </c>
      <c r="G14">
        <v>0.2366</v>
      </c>
      <c r="H14" s="43">
        <v>0.23</v>
      </c>
      <c r="I14" s="48" t="s">
        <v>37</v>
      </c>
      <c r="J14" s="78" t="s">
        <v>18</v>
      </c>
      <c r="K14">
        <v>1.6527000000000001</v>
      </c>
    </row>
    <row r="16" spans="1:15" x14ac:dyDescent="0.25">
      <c r="F16" s="87"/>
      <c r="J16"/>
      <c r="O16" s="87"/>
    </row>
    <row r="17" spans="6:15" x14ac:dyDescent="0.25">
      <c r="F17" s="87"/>
      <c r="J17"/>
      <c r="O17" s="87"/>
    </row>
    <row r="18" spans="6:15" x14ac:dyDescent="0.25">
      <c r="F18" s="87"/>
      <c r="J18"/>
      <c r="O18" s="87"/>
    </row>
    <row r="19" spans="6:15" x14ac:dyDescent="0.25">
      <c r="J19"/>
      <c r="O19" s="87"/>
    </row>
    <row r="20" spans="6:15" x14ac:dyDescent="0.25">
      <c r="O20" s="8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0A9-A2F6-4764-B72D-C990598ADC87}">
  <dimension ref="A1:O22"/>
  <sheetViews>
    <sheetView zoomScale="115" zoomScaleNormal="115" workbookViewId="0">
      <pane xSplit="1" topLeftCell="B1" activePane="topRight" state="frozen"/>
      <selection pane="topRight" activeCell="H32" sqref="H32"/>
    </sheetView>
  </sheetViews>
  <sheetFormatPr baseColWidth="10" defaultRowHeight="15" x14ac:dyDescent="0.25"/>
  <cols>
    <col min="10" max="10" width="11.42578125" style="79"/>
  </cols>
  <sheetData>
    <row r="1" spans="1:15" ht="24" x14ac:dyDescent="0.25">
      <c r="A1" s="1" t="s">
        <v>3</v>
      </c>
      <c r="B1" s="21" t="s">
        <v>1</v>
      </c>
      <c r="C1" s="20" t="s">
        <v>2</v>
      </c>
      <c r="D1" s="2" t="s">
        <v>7</v>
      </c>
      <c r="E1" s="45" t="s">
        <v>9</v>
      </c>
      <c r="F1" s="2" t="s">
        <v>10</v>
      </c>
      <c r="G1" s="45" t="s">
        <v>11</v>
      </c>
      <c r="H1" s="2" t="s">
        <v>195</v>
      </c>
      <c r="I1" s="46" t="s">
        <v>12</v>
      </c>
      <c r="J1" s="84" t="s">
        <v>52</v>
      </c>
      <c r="K1" s="39" t="s">
        <v>197</v>
      </c>
    </row>
    <row r="2" spans="1:15" x14ac:dyDescent="0.25">
      <c r="A2" s="7">
        <v>2</v>
      </c>
      <c r="B2" s="3">
        <v>1</v>
      </c>
      <c r="C2" s="26" t="s">
        <v>14</v>
      </c>
      <c r="D2" s="27">
        <v>4</v>
      </c>
      <c r="E2">
        <v>0.71</v>
      </c>
      <c r="F2">
        <v>0.81</v>
      </c>
      <c r="G2">
        <v>0.86</v>
      </c>
      <c r="H2" s="27">
        <v>0.36</v>
      </c>
      <c r="I2" s="14" t="s">
        <v>37</v>
      </c>
      <c r="J2" s="78" t="s">
        <v>18</v>
      </c>
      <c r="K2">
        <v>1.83</v>
      </c>
    </row>
    <row r="3" spans="1:15" x14ac:dyDescent="0.25">
      <c r="A3" s="7">
        <v>3</v>
      </c>
      <c r="B3" s="3">
        <v>1</v>
      </c>
      <c r="C3" s="26" t="s">
        <v>14</v>
      </c>
      <c r="D3" s="12">
        <v>3</v>
      </c>
      <c r="E3">
        <v>0.88929999999999998</v>
      </c>
      <c r="F3">
        <v>0.87870000000000004</v>
      </c>
      <c r="G3">
        <v>0.84230000000000005</v>
      </c>
      <c r="H3" s="41">
        <v>0.41</v>
      </c>
      <c r="I3" s="27" t="s">
        <v>37</v>
      </c>
      <c r="J3" s="78" t="s">
        <v>37</v>
      </c>
      <c r="K3">
        <v>2.0958999999999999</v>
      </c>
    </row>
    <row r="4" spans="1:15" x14ac:dyDescent="0.25">
      <c r="A4" s="7">
        <v>5</v>
      </c>
      <c r="B4" s="3">
        <v>1</v>
      </c>
      <c r="C4" s="26" t="s">
        <v>14</v>
      </c>
      <c r="D4" s="12">
        <v>3</v>
      </c>
      <c r="E4">
        <v>0.61229999999999996</v>
      </c>
      <c r="F4">
        <v>0.57720000000000005</v>
      </c>
      <c r="G4">
        <v>0.56640000000000001</v>
      </c>
      <c r="H4" s="12">
        <v>0.47</v>
      </c>
      <c r="I4" s="9" t="s">
        <v>37</v>
      </c>
      <c r="J4" s="78" t="s">
        <v>37</v>
      </c>
      <c r="K4">
        <v>1.6536999999999999</v>
      </c>
    </row>
    <row r="5" spans="1:15" x14ac:dyDescent="0.25">
      <c r="A5" s="7">
        <v>9</v>
      </c>
      <c r="B5" s="3">
        <v>2</v>
      </c>
      <c r="C5" s="26" t="s">
        <v>14</v>
      </c>
      <c r="D5" s="12">
        <v>4</v>
      </c>
      <c r="E5">
        <v>0.36520000000000002</v>
      </c>
      <c r="F5">
        <v>0.2681</v>
      </c>
      <c r="G5">
        <v>0.34599999999999997</v>
      </c>
      <c r="H5" s="12">
        <v>0.3</v>
      </c>
      <c r="I5" s="9" t="s">
        <v>37</v>
      </c>
      <c r="J5" s="78" t="s">
        <v>18</v>
      </c>
      <c r="K5">
        <v>0.54610000000000003</v>
      </c>
    </row>
    <row r="6" spans="1:15" x14ac:dyDescent="0.25">
      <c r="A6" s="7">
        <v>10</v>
      </c>
      <c r="B6" s="3">
        <v>2</v>
      </c>
      <c r="C6" s="26" t="s">
        <v>14</v>
      </c>
      <c r="D6" s="12">
        <v>2</v>
      </c>
      <c r="E6">
        <v>0.57369999999999999</v>
      </c>
      <c r="F6">
        <v>0.53500000000000003</v>
      </c>
      <c r="G6">
        <v>0.58140000000000003</v>
      </c>
      <c r="H6" s="12">
        <v>0.14000000000000001</v>
      </c>
      <c r="I6" s="9" t="s">
        <v>37</v>
      </c>
      <c r="J6" s="80" t="s">
        <v>37</v>
      </c>
      <c r="K6">
        <v>0.70730000000000004</v>
      </c>
    </row>
    <row r="7" spans="1:15" x14ac:dyDescent="0.25">
      <c r="A7" s="7">
        <v>18</v>
      </c>
      <c r="B7" s="3">
        <v>3</v>
      </c>
      <c r="C7" s="31" t="s">
        <v>24</v>
      </c>
      <c r="D7" s="27">
        <v>2</v>
      </c>
      <c r="E7">
        <v>0.54759999999999998</v>
      </c>
      <c r="F7">
        <v>0.54759999999999998</v>
      </c>
      <c r="G7">
        <v>0.59</v>
      </c>
      <c r="H7" s="27">
        <v>0.41</v>
      </c>
      <c r="I7" s="40" t="s">
        <v>37</v>
      </c>
      <c r="J7" s="78" t="s">
        <v>18</v>
      </c>
      <c r="K7">
        <v>1.4074</v>
      </c>
    </row>
    <row r="8" spans="1:15" x14ac:dyDescent="0.25">
      <c r="A8" s="90">
        <v>26</v>
      </c>
      <c r="B8" s="91">
        <v>4</v>
      </c>
      <c r="C8" s="93" t="s">
        <v>24</v>
      </c>
      <c r="D8" s="92"/>
      <c r="E8" s="88"/>
      <c r="F8" s="88"/>
      <c r="G8" s="88"/>
      <c r="H8" s="92"/>
      <c r="I8" s="94" t="s">
        <v>37</v>
      </c>
      <c r="J8" s="92" t="s">
        <v>18</v>
      </c>
      <c r="K8" s="88"/>
    </row>
    <row r="9" spans="1:15" x14ac:dyDescent="0.25">
      <c r="A9" s="7">
        <v>19</v>
      </c>
      <c r="B9" s="3">
        <v>3</v>
      </c>
      <c r="C9" s="31" t="s">
        <v>24</v>
      </c>
      <c r="D9" s="12">
        <v>3</v>
      </c>
      <c r="E9">
        <v>0.59530000000000005</v>
      </c>
      <c r="F9">
        <v>0.56620000000000004</v>
      </c>
      <c r="G9">
        <v>0.61650000000000005</v>
      </c>
      <c r="H9" s="12">
        <v>0.38</v>
      </c>
      <c r="I9" s="40" t="s">
        <v>37</v>
      </c>
      <c r="J9" s="78" t="s">
        <v>18</v>
      </c>
      <c r="K9">
        <v>1.3</v>
      </c>
    </row>
    <row r="10" spans="1:15" x14ac:dyDescent="0.25">
      <c r="A10" s="7">
        <v>30</v>
      </c>
      <c r="B10" s="3">
        <v>4</v>
      </c>
      <c r="C10" s="31" t="s">
        <v>24</v>
      </c>
      <c r="D10" s="12">
        <v>2</v>
      </c>
      <c r="E10">
        <v>0.60729999999999995</v>
      </c>
      <c r="F10">
        <v>0.55830000000000002</v>
      </c>
      <c r="G10">
        <v>0.55830000000000002</v>
      </c>
      <c r="H10" s="12">
        <v>0.27</v>
      </c>
      <c r="I10" s="9" t="s">
        <v>37</v>
      </c>
      <c r="J10" s="80" t="s">
        <v>18</v>
      </c>
      <c r="K10" s="12">
        <v>1.6743000000000001</v>
      </c>
    </row>
    <row r="11" spans="1:15" x14ac:dyDescent="0.25">
      <c r="A11" s="7">
        <v>36</v>
      </c>
      <c r="B11" s="3">
        <v>5</v>
      </c>
      <c r="C11" s="26" t="s">
        <v>14</v>
      </c>
      <c r="D11" s="12">
        <v>4</v>
      </c>
      <c r="E11">
        <v>0.5292</v>
      </c>
      <c r="F11">
        <v>0.5292</v>
      </c>
      <c r="G11">
        <v>0.5292</v>
      </c>
      <c r="H11" s="12">
        <v>0.32</v>
      </c>
      <c r="I11" s="9" t="s">
        <v>37</v>
      </c>
      <c r="J11" s="80" t="s">
        <v>37</v>
      </c>
      <c r="K11">
        <v>0.5292</v>
      </c>
    </row>
    <row r="12" spans="1:15" x14ac:dyDescent="0.25">
      <c r="A12" s="7">
        <v>40</v>
      </c>
      <c r="B12" s="3">
        <v>5</v>
      </c>
      <c r="C12" s="26" t="s">
        <v>14</v>
      </c>
      <c r="D12" s="80">
        <v>3</v>
      </c>
      <c r="E12" s="79">
        <v>0.35899999999999999</v>
      </c>
      <c r="F12" s="79">
        <v>0.66920000000000002</v>
      </c>
      <c r="G12" s="79">
        <v>0.57289999999999996</v>
      </c>
      <c r="H12" s="80">
        <v>0.43</v>
      </c>
      <c r="I12" s="97" t="s">
        <v>37</v>
      </c>
      <c r="J12" s="80" t="s">
        <v>18</v>
      </c>
      <c r="K12" s="79">
        <v>1.7509999999999999</v>
      </c>
    </row>
    <row r="13" spans="1:15" x14ac:dyDescent="0.25">
      <c r="A13" s="7">
        <v>44</v>
      </c>
      <c r="B13" s="3">
        <v>5</v>
      </c>
      <c r="C13" s="26" t="s">
        <v>14</v>
      </c>
      <c r="D13" s="80">
        <v>2</v>
      </c>
      <c r="E13" s="79">
        <v>0.53620000000000001</v>
      </c>
      <c r="F13" s="79">
        <v>0.3669</v>
      </c>
      <c r="G13" s="79">
        <v>0.51290000000000002</v>
      </c>
      <c r="H13" s="80">
        <v>0.24</v>
      </c>
      <c r="I13" s="97" t="s">
        <v>37</v>
      </c>
      <c r="J13" s="80" t="s">
        <v>18</v>
      </c>
      <c r="K13" s="79">
        <v>0.89239999999999997</v>
      </c>
    </row>
    <row r="14" spans="1:15" x14ac:dyDescent="0.25">
      <c r="A14" s="7">
        <v>47</v>
      </c>
      <c r="B14" s="96">
        <v>6</v>
      </c>
      <c r="C14" s="31" t="s">
        <v>24</v>
      </c>
      <c r="D14" s="80"/>
      <c r="E14" s="79">
        <v>1.2922</v>
      </c>
      <c r="F14" s="79">
        <v>0.68149999999999999</v>
      </c>
      <c r="G14" s="79">
        <v>0.66020000000000001</v>
      </c>
      <c r="H14" s="80">
        <v>0.24</v>
      </c>
      <c r="I14" s="97" t="s">
        <v>37</v>
      </c>
      <c r="J14" s="80" t="s">
        <v>37</v>
      </c>
      <c r="K14" s="79">
        <v>4.4486999999999997</v>
      </c>
    </row>
    <row r="15" spans="1:15" x14ac:dyDescent="0.25">
      <c r="A15" s="90">
        <v>52</v>
      </c>
      <c r="B15" s="91">
        <v>6</v>
      </c>
      <c r="C15" s="93" t="s">
        <v>24</v>
      </c>
      <c r="D15" s="98"/>
      <c r="E15" s="88"/>
      <c r="F15" s="88"/>
      <c r="G15" s="88"/>
      <c r="H15" s="98"/>
      <c r="I15" s="99" t="s">
        <v>37</v>
      </c>
      <c r="J15" s="100" t="s">
        <v>18</v>
      </c>
      <c r="K15" s="88"/>
    </row>
    <row r="16" spans="1:15" x14ac:dyDescent="0.25">
      <c r="O16" s="87"/>
    </row>
    <row r="17" spans="5:15" x14ac:dyDescent="0.25">
      <c r="E17" s="41"/>
      <c r="O17" s="87"/>
    </row>
    <row r="18" spans="5:15" x14ac:dyDescent="0.25">
      <c r="O18" s="87"/>
    </row>
    <row r="19" spans="5:15" x14ac:dyDescent="0.25">
      <c r="O19" s="87"/>
    </row>
    <row r="20" spans="5:15" x14ac:dyDescent="0.25">
      <c r="F20" s="87"/>
      <c r="J20"/>
    </row>
    <row r="21" spans="5:15" x14ac:dyDescent="0.25">
      <c r="F21" s="87"/>
      <c r="J21"/>
    </row>
    <row r="22" spans="5:15" x14ac:dyDescent="0.25">
      <c r="F22" s="87"/>
      <c r="J22"/>
      <c r="O22" s="8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zoomScale="130" zoomScaleNormal="130" workbookViewId="0">
      <pane xSplit="1" topLeftCell="B1" activePane="topRight" state="frozen"/>
      <selection pane="topRight" activeCell="A6" sqref="A6:L6"/>
    </sheetView>
  </sheetViews>
  <sheetFormatPr baseColWidth="10" defaultColWidth="8.5703125" defaultRowHeight="15" x14ac:dyDescent="0.25"/>
  <cols>
    <col min="4" max="4" width="10.7109375" customWidth="1"/>
    <col min="13" max="13" width="8.5703125" style="79"/>
    <col min="1013" max="1021" width="9.140625" customWidth="1"/>
  </cols>
  <sheetData>
    <row r="1" spans="1:13" ht="1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46" t="s">
        <v>12</v>
      </c>
      <c r="K1" s="2" t="s">
        <v>52</v>
      </c>
      <c r="L1" s="39" t="s">
        <v>197</v>
      </c>
      <c r="M1" s="84"/>
    </row>
    <row r="2" spans="1:13" x14ac:dyDescent="0.25">
      <c r="A2" s="7">
        <v>2</v>
      </c>
      <c r="B2" s="3">
        <v>1</v>
      </c>
      <c r="C2" s="26" t="s">
        <v>14</v>
      </c>
      <c r="D2" s="28" t="s">
        <v>94</v>
      </c>
      <c r="E2" s="27">
        <v>11</v>
      </c>
      <c r="F2" s="79">
        <v>0.53249999999999997</v>
      </c>
      <c r="G2">
        <v>0.57289999999999996</v>
      </c>
      <c r="H2">
        <v>0.55179999999999996</v>
      </c>
      <c r="I2" s="27">
        <v>0.49</v>
      </c>
      <c r="J2" s="14" t="s">
        <v>37</v>
      </c>
      <c r="K2" s="27" t="s">
        <v>37</v>
      </c>
      <c r="L2" s="27">
        <v>1.8</v>
      </c>
      <c r="M2" s="78"/>
    </row>
    <row r="3" spans="1:13" x14ac:dyDescent="0.25">
      <c r="A3" s="7">
        <v>3</v>
      </c>
      <c r="B3" s="3">
        <v>1</v>
      </c>
      <c r="C3" s="26" t="s">
        <v>14</v>
      </c>
      <c r="D3" s="29" t="s">
        <v>95</v>
      </c>
      <c r="E3" s="12">
        <v>13</v>
      </c>
      <c r="F3" s="79">
        <v>1.2222999999999999</v>
      </c>
      <c r="G3" s="79">
        <v>1.254</v>
      </c>
      <c r="H3" s="79">
        <v>1.254</v>
      </c>
      <c r="I3" s="12">
        <v>1.19</v>
      </c>
      <c r="J3" s="14" t="s">
        <v>37</v>
      </c>
      <c r="K3" s="27" t="s">
        <v>37</v>
      </c>
      <c r="L3" s="27">
        <v>2.3757999999999999</v>
      </c>
      <c r="M3" s="78"/>
    </row>
    <row r="4" spans="1:13" x14ac:dyDescent="0.25">
      <c r="A4" s="7">
        <v>5</v>
      </c>
      <c r="B4" s="3">
        <v>1</v>
      </c>
      <c r="C4" s="26" t="s">
        <v>14</v>
      </c>
      <c r="D4" s="28" t="s">
        <v>96</v>
      </c>
      <c r="E4" s="12">
        <v>4</v>
      </c>
      <c r="F4" s="79">
        <v>0.57989999999999997</v>
      </c>
      <c r="G4" s="79">
        <v>0.42649999999999999</v>
      </c>
      <c r="H4" s="79">
        <v>0.5444</v>
      </c>
      <c r="I4" s="12">
        <v>0.57999999999999996</v>
      </c>
      <c r="J4" s="9" t="s">
        <v>37</v>
      </c>
      <c r="K4" s="27" t="s">
        <v>37</v>
      </c>
      <c r="L4" s="79">
        <v>1.1345000000000001</v>
      </c>
      <c r="M4" s="78"/>
    </row>
    <row r="5" spans="1:13" x14ac:dyDescent="0.25">
      <c r="A5" s="7">
        <v>8</v>
      </c>
      <c r="B5" s="3">
        <v>2</v>
      </c>
      <c r="C5" s="26" t="s">
        <v>14</v>
      </c>
      <c r="D5" s="28" t="s">
        <v>97</v>
      </c>
      <c r="E5" s="12">
        <v>14</v>
      </c>
      <c r="F5" s="79">
        <v>0.32869999999999999</v>
      </c>
      <c r="G5" s="79">
        <v>0.34949999999999998</v>
      </c>
      <c r="H5" s="79">
        <v>0.32829999999999998</v>
      </c>
      <c r="I5" s="12">
        <v>0.56999999999999995</v>
      </c>
      <c r="J5" s="9" t="s">
        <v>37</v>
      </c>
      <c r="K5" s="12" t="s">
        <v>37</v>
      </c>
      <c r="L5" s="79">
        <v>0.53120000000000001</v>
      </c>
      <c r="M5" s="80"/>
    </row>
    <row r="6" spans="1:13" x14ac:dyDescent="0.25">
      <c r="A6" s="7">
        <v>9</v>
      </c>
      <c r="B6" s="3">
        <v>2</v>
      </c>
      <c r="C6" s="26" t="s">
        <v>14</v>
      </c>
      <c r="D6" s="28" t="s">
        <v>98</v>
      </c>
      <c r="E6" s="12">
        <v>5</v>
      </c>
      <c r="F6" s="79">
        <v>0.2407</v>
      </c>
      <c r="G6" s="79">
        <v>0.25840000000000002</v>
      </c>
      <c r="H6" s="79">
        <v>0.28089999999999998</v>
      </c>
      <c r="I6" s="12">
        <v>0.31</v>
      </c>
      <c r="J6" s="9" t="s">
        <v>37</v>
      </c>
      <c r="K6" s="12" t="s">
        <v>18</v>
      </c>
      <c r="L6" s="79">
        <v>0.47</v>
      </c>
      <c r="M6" s="78"/>
    </row>
    <row r="7" spans="1:13" x14ac:dyDescent="0.25">
      <c r="A7" s="7">
        <v>18</v>
      </c>
      <c r="B7" s="3">
        <v>3</v>
      </c>
      <c r="C7" s="31" t="s">
        <v>24</v>
      </c>
      <c r="D7" s="28" t="s">
        <v>99</v>
      </c>
      <c r="E7" s="27">
        <v>11</v>
      </c>
      <c r="F7" s="79">
        <v>0.873</v>
      </c>
      <c r="G7" s="79">
        <v>0.92069999999999996</v>
      </c>
      <c r="H7" s="79">
        <v>0.88549999999999995</v>
      </c>
      <c r="I7" s="12">
        <v>1.23</v>
      </c>
      <c r="J7" s="9" t="s">
        <v>37</v>
      </c>
      <c r="K7" s="12" t="s">
        <v>37</v>
      </c>
      <c r="L7" s="79">
        <v>1.5662</v>
      </c>
      <c r="M7" s="78"/>
    </row>
    <row r="8" spans="1:13" x14ac:dyDescent="0.25">
      <c r="A8" s="7">
        <v>19</v>
      </c>
      <c r="B8" s="3">
        <v>3</v>
      </c>
      <c r="C8" s="31" t="s">
        <v>24</v>
      </c>
      <c r="D8" s="28" t="s">
        <v>100</v>
      </c>
      <c r="E8" s="12">
        <v>20</v>
      </c>
      <c r="F8" s="79">
        <v>1.1372</v>
      </c>
      <c r="G8" s="79">
        <v>1.1177999999999999</v>
      </c>
      <c r="H8" s="79">
        <v>1.1246</v>
      </c>
      <c r="I8" s="12">
        <v>1.29</v>
      </c>
      <c r="J8" s="40" t="s">
        <v>37</v>
      </c>
      <c r="K8" s="27" t="s">
        <v>37</v>
      </c>
      <c r="L8" s="79">
        <v>1.7049000000000001</v>
      </c>
      <c r="M8" s="78"/>
    </row>
    <row r="9" spans="1:13" ht="15" customHeight="1" x14ac:dyDescent="0.25">
      <c r="A9" s="7">
        <v>30</v>
      </c>
      <c r="B9" s="3">
        <v>4</v>
      </c>
      <c r="C9" s="31" t="s">
        <v>24</v>
      </c>
      <c r="D9" s="28" t="s">
        <v>101</v>
      </c>
      <c r="E9" s="12">
        <v>5</v>
      </c>
      <c r="F9" s="79">
        <v>0.56420000000000003</v>
      </c>
      <c r="G9" s="79">
        <v>0.5444</v>
      </c>
      <c r="H9" s="79">
        <v>0.46820000000000001</v>
      </c>
      <c r="I9" s="12">
        <v>0.64</v>
      </c>
      <c r="J9" s="14" t="s">
        <v>37</v>
      </c>
      <c r="K9" s="27" t="s">
        <v>18</v>
      </c>
      <c r="L9" s="79">
        <v>1.67</v>
      </c>
      <c r="M9" s="80"/>
    </row>
    <row r="10" spans="1:13" ht="15" customHeight="1" x14ac:dyDescent="0.25">
      <c r="A10" s="90">
        <v>26</v>
      </c>
      <c r="B10" s="91">
        <v>4</v>
      </c>
      <c r="C10" s="93" t="s">
        <v>24</v>
      </c>
      <c r="D10" s="92"/>
      <c r="E10" s="88"/>
      <c r="F10" s="88"/>
      <c r="G10" s="88"/>
      <c r="H10" s="92"/>
      <c r="J10" s="94" t="s">
        <v>37</v>
      </c>
      <c r="K10" s="92" t="s">
        <v>18</v>
      </c>
      <c r="L10" s="79"/>
      <c r="M10" s="80"/>
    </row>
    <row r="11" spans="1:13" x14ac:dyDescent="0.25">
      <c r="A11" s="7">
        <v>36</v>
      </c>
      <c r="B11" s="3">
        <v>5</v>
      </c>
      <c r="C11" s="26" t="s">
        <v>14</v>
      </c>
      <c r="D11" s="28"/>
      <c r="E11" s="32"/>
      <c r="F11" s="79">
        <v>0.56020000000000003</v>
      </c>
      <c r="G11" s="79">
        <v>0.55520000000000003</v>
      </c>
      <c r="H11" s="79">
        <v>0.52980000000000005</v>
      </c>
      <c r="I11" s="12"/>
      <c r="J11" s="9" t="s">
        <v>37</v>
      </c>
      <c r="K11" s="12" t="s">
        <v>37</v>
      </c>
      <c r="L11" s="79">
        <v>0.53180000000000005</v>
      </c>
      <c r="M11" s="80"/>
    </row>
    <row r="12" spans="1:13" x14ac:dyDescent="0.25">
      <c r="A12" s="7">
        <v>40</v>
      </c>
      <c r="B12" s="3">
        <v>5</v>
      </c>
      <c r="C12" s="26" t="s">
        <v>14</v>
      </c>
      <c r="D12" s="28" t="s">
        <v>102</v>
      </c>
      <c r="E12" s="12">
        <v>6</v>
      </c>
      <c r="F12" s="79">
        <v>0.54390000000000005</v>
      </c>
      <c r="G12" s="79">
        <v>0.51270000000000004</v>
      </c>
      <c r="H12" s="79">
        <v>0.54659999999999997</v>
      </c>
      <c r="I12" s="12">
        <v>0.56999999999999995</v>
      </c>
      <c r="J12" s="9" t="s">
        <v>37</v>
      </c>
      <c r="K12" s="12" t="s">
        <v>37</v>
      </c>
      <c r="L12" s="79">
        <v>1.4148000000000001</v>
      </c>
      <c r="M12" s="80"/>
    </row>
    <row r="13" spans="1:13" x14ac:dyDescent="0.25">
      <c r="A13" s="7">
        <v>44</v>
      </c>
      <c r="B13" s="3">
        <v>5</v>
      </c>
      <c r="C13" s="26" t="s">
        <v>14</v>
      </c>
      <c r="D13" s="101" t="s">
        <v>103</v>
      </c>
      <c r="E13" s="80">
        <v>6</v>
      </c>
      <c r="F13" s="79">
        <v>0.62980000000000003</v>
      </c>
      <c r="G13" s="79">
        <v>0.78900000000000003</v>
      </c>
      <c r="H13" s="79">
        <v>0.44840000000000002</v>
      </c>
      <c r="I13" s="80">
        <v>0.81</v>
      </c>
      <c r="J13" s="97" t="s">
        <v>37</v>
      </c>
      <c r="K13" s="80" t="s">
        <v>37</v>
      </c>
      <c r="L13" s="79">
        <v>0.86099999999999999</v>
      </c>
      <c r="M13" s="80"/>
    </row>
    <row r="14" spans="1:13" x14ac:dyDescent="0.25">
      <c r="A14" s="7">
        <v>47</v>
      </c>
      <c r="B14" s="96">
        <v>6</v>
      </c>
      <c r="C14" s="31" t="s">
        <v>24</v>
      </c>
      <c r="D14" s="101" t="s">
        <v>104</v>
      </c>
      <c r="E14" s="80">
        <v>20</v>
      </c>
      <c r="F14" s="79">
        <v>1.8697999999999999</v>
      </c>
      <c r="G14" s="79">
        <v>1.8633</v>
      </c>
      <c r="H14" s="79">
        <v>1.8422000000000001</v>
      </c>
      <c r="I14" s="80">
        <v>1.92</v>
      </c>
      <c r="J14" s="97" t="s">
        <v>37</v>
      </c>
      <c r="K14" s="80" t="s">
        <v>37</v>
      </c>
      <c r="L14" s="79">
        <v>4.0106999999999999</v>
      </c>
      <c r="M14" s="80"/>
    </row>
    <row r="15" spans="1:13" x14ac:dyDescent="0.25">
      <c r="A15" s="90">
        <v>52</v>
      </c>
      <c r="B15" s="91">
        <v>6</v>
      </c>
      <c r="C15" s="93" t="s">
        <v>24</v>
      </c>
      <c r="D15" s="98"/>
      <c r="E15" s="88"/>
      <c r="F15" s="88"/>
      <c r="G15" s="88"/>
      <c r="H15" s="98"/>
      <c r="J15" s="99" t="s">
        <v>37</v>
      </c>
      <c r="K15" s="100" t="s">
        <v>18</v>
      </c>
    </row>
    <row r="16" spans="1:13" x14ac:dyDescent="0.25">
      <c r="C16" s="87"/>
      <c r="L16" s="87"/>
    </row>
    <row r="17" spans="3:12" x14ac:dyDescent="0.25">
      <c r="C17" s="87"/>
      <c r="L17" s="87"/>
    </row>
    <row r="18" spans="3:12" x14ac:dyDescent="0.25">
      <c r="C18" s="87"/>
      <c r="L18" s="87"/>
    </row>
    <row r="19" spans="3:12" x14ac:dyDescent="0.25">
      <c r="L19" s="8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zoomScale="130" zoomScaleNormal="130" workbookViewId="0">
      <pane xSplit="1" topLeftCell="B1" activePane="topRight" state="frozen"/>
      <selection pane="topRight" activeCell="L7" sqref="L7"/>
    </sheetView>
  </sheetViews>
  <sheetFormatPr baseColWidth="10" defaultColWidth="8.5703125" defaultRowHeight="15" x14ac:dyDescent="0.25"/>
  <cols>
    <col min="4" max="4" width="11.28515625" customWidth="1"/>
    <col min="9" max="9" width="9.28515625" customWidth="1"/>
    <col min="10" max="10" width="11.42578125" customWidth="1"/>
    <col min="12" max="12" width="10.140625" customWidth="1"/>
    <col min="1013" max="1022" width="9.140625" customWidth="1"/>
  </cols>
  <sheetData>
    <row r="1" spans="1:12" ht="1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45" t="s">
        <v>51</v>
      </c>
      <c r="K1" s="2" t="s">
        <v>52</v>
      </c>
      <c r="L1" s="39" t="s">
        <v>197</v>
      </c>
    </row>
    <row r="2" spans="1:12" x14ac:dyDescent="0.25">
      <c r="A2" s="7">
        <v>2</v>
      </c>
      <c r="B2" s="3">
        <v>1</v>
      </c>
      <c r="C2" s="26" t="s">
        <v>14</v>
      </c>
      <c r="D2" s="28" t="s">
        <v>105</v>
      </c>
      <c r="E2" s="27">
        <v>11</v>
      </c>
      <c r="F2">
        <v>0.75570000000000004</v>
      </c>
      <c r="G2">
        <v>0.75570000000000004</v>
      </c>
      <c r="H2">
        <v>0.75570000000000004</v>
      </c>
      <c r="I2" s="27">
        <v>0.5</v>
      </c>
      <c r="J2" t="s">
        <v>37</v>
      </c>
      <c r="K2" s="27" t="s">
        <v>37</v>
      </c>
      <c r="L2">
        <v>1.7356</v>
      </c>
    </row>
    <row r="3" spans="1:12" x14ac:dyDescent="0.25">
      <c r="A3" s="7">
        <v>3</v>
      </c>
      <c r="B3" s="3">
        <v>1</v>
      </c>
      <c r="C3" s="26" t="s">
        <v>14</v>
      </c>
      <c r="D3" s="29" t="s">
        <v>106</v>
      </c>
      <c r="E3" s="12">
        <v>28</v>
      </c>
      <c r="F3">
        <v>1.5404</v>
      </c>
      <c r="G3">
        <v>1.4837</v>
      </c>
      <c r="H3">
        <v>1.4837</v>
      </c>
      <c r="I3" s="12">
        <v>1.94</v>
      </c>
      <c r="J3" t="s">
        <v>37</v>
      </c>
      <c r="K3" s="27" t="s">
        <v>37</v>
      </c>
      <c r="L3">
        <v>2.4716</v>
      </c>
    </row>
    <row r="4" spans="1:12" ht="15" customHeight="1" x14ac:dyDescent="0.25">
      <c r="A4" s="7">
        <v>5</v>
      </c>
      <c r="B4" s="3">
        <v>1</v>
      </c>
      <c r="C4" s="26" t="s">
        <v>14</v>
      </c>
      <c r="D4" s="28" t="s">
        <v>107</v>
      </c>
      <c r="E4" s="12">
        <v>44</v>
      </c>
      <c r="F4">
        <v>1.0899000000000001</v>
      </c>
      <c r="G4">
        <v>1.0899000000000001</v>
      </c>
      <c r="H4">
        <v>1.1319999999999999</v>
      </c>
      <c r="I4" s="12">
        <v>1.26</v>
      </c>
      <c r="J4" s="8" t="s">
        <v>37</v>
      </c>
      <c r="K4" s="12" t="s">
        <v>37</v>
      </c>
      <c r="L4">
        <v>1.1952</v>
      </c>
    </row>
    <row r="5" spans="1:12" x14ac:dyDescent="0.25">
      <c r="A5" s="7">
        <v>8</v>
      </c>
      <c r="B5" s="3">
        <v>2</v>
      </c>
      <c r="C5" s="26" t="s">
        <v>14</v>
      </c>
      <c r="D5" s="28" t="s">
        <v>108</v>
      </c>
      <c r="E5" s="12">
        <v>28</v>
      </c>
      <c r="F5">
        <v>0.94599999999999995</v>
      </c>
      <c r="G5">
        <v>0.94599999999999995</v>
      </c>
      <c r="H5">
        <v>0.88419999999999999</v>
      </c>
      <c r="I5" s="12">
        <v>1.28</v>
      </c>
      <c r="J5" s="8" t="s">
        <v>37</v>
      </c>
      <c r="K5" s="12" t="s">
        <v>37</v>
      </c>
      <c r="L5">
        <v>0.51080000000000003</v>
      </c>
    </row>
    <row r="6" spans="1:12" x14ac:dyDescent="0.25">
      <c r="A6" s="7">
        <v>9</v>
      </c>
      <c r="B6" s="3">
        <v>2</v>
      </c>
      <c r="C6" s="26" t="s">
        <v>14</v>
      </c>
      <c r="D6" s="28" t="s">
        <v>109</v>
      </c>
      <c r="E6" s="12">
        <v>28</v>
      </c>
      <c r="F6">
        <v>0.77</v>
      </c>
      <c r="G6">
        <v>0.80530000000000002</v>
      </c>
      <c r="H6">
        <v>0.80349999999999999</v>
      </c>
      <c r="I6" s="12">
        <v>0.9</v>
      </c>
      <c r="J6" s="12" t="s">
        <v>37</v>
      </c>
      <c r="K6" s="12" t="s">
        <v>37</v>
      </c>
      <c r="L6" s="87">
        <v>0.53069999999999995</v>
      </c>
    </row>
    <row r="7" spans="1:12" x14ac:dyDescent="0.25">
      <c r="A7" s="7">
        <v>10</v>
      </c>
      <c r="B7" s="3">
        <v>2</v>
      </c>
      <c r="C7" s="26" t="s">
        <v>14</v>
      </c>
      <c r="D7" s="28" t="s">
        <v>110</v>
      </c>
      <c r="E7" s="12">
        <v>48</v>
      </c>
      <c r="F7">
        <v>1.0482</v>
      </c>
      <c r="G7">
        <v>1.0956999999999999</v>
      </c>
      <c r="H7">
        <v>1.0566</v>
      </c>
      <c r="I7" s="12">
        <v>1.2</v>
      </c>
      <c r="J7" s="12" t="s">
        <v>37</v>
      </c>
      <c r="K7" s="12" t="s">
        <v>37</v>
      </c>
      <c r="L7" s="87">
        <v>0.8</v>
      </c>
    </row>
    <row r="8" spans="1:12" x14ac:dyDescent="0.25">
      <c r="A8" s="7">
        <v>18</v>
      </c>
      <c r="B8" s="3">
        <v>3</v>
      </c>
      <c r="C8" s="31" t="s">
        <v>24</v>
      </c>
      <c r="D8" s="28" t="s">
        <v>111</v>
      </c>
      <c r="E8" s="27">
        <v>29</v>
      </c>
      <c r="F8">
        <v>1.89</v>
      </c>
      <c r="G8">
        <v>1.7626999999999999</v>
      </c>
      <c r="H8">
        <v>1.7626999999999999</v>
      </c>
      <c r="I8" s="12">
        <v>1.94</v>
      </c>
      <c r="J8" s="8" t="s">
        <v>37</v>
      </c>
      <c r="K8" s="12" t="s">
        <v>37</v>
      </c>
      <c r="L8">
        <v>1.4311</v>
      </c>
    </row>
    <row r="9" spans="1:12" x14ac:dyDescent="0.25">
      <c r="A9" s="7">
        <v>19</v>
      </c>
      <c r="B9" s="3">
        <v>3</v>
      </c>
      <c r="C9" s="31" t="s">
        <v>24</v>
      </c>
      <c r="D9" s="28" t="s">
        <v>112</v>
      </c>
      <c r="E9" s="12">
        <v>27</v>
      </c>
      <c r="F9">
        <v>1.8386</v>
      </c>
      <c r="G9">
        <v>1.847</v>
      </c>
      <c r="H9">
        <v>1.8351</v>
      </c>
      <c r="I9" s="12">
        <v>1.56</v>
      </c>
      <c r="J9" s="8" t="s">
        <v>37</v>
      </c>
      <c r="K9" s="12" t="s">
        <v>37</v>
      </c>
      <c r="L9">
        <v>1.9843</v>
      </c>
    </row>
    <row r="10" spans="1:12" x14ac:dyDescent="0.25">
      <c r="A10" s="90">
        <v>26</v>
      </c>
      <c r="B10" s="91">
        <v>4</v>
      </c>
      <c r="C10" s="93" t="s">
        <v>24</v>
      </c>
      <c r="D10" s="92"/>
      <c r="E10" s="88"/>
      <c r="F10" s="88"/>
      <c r="G10" s="88"/>
      <c r="H10" s="92"/>
      <c r="J10" s="94" t="s">
        <v>37</v>
      </c>
      <c r="K10" s="92" t="s">
        <v>37</v>
      </c>
      <c r="L10" s="79"/>
    </row>
    <row r="11" spans="1:12" ht="15" customHeight="1" x14ac:dyDescent="0.25">
      <c r="A11" s="7">
        <v>30</v>
      </c>
      <c r="B11" s="3">
        <v>4</v>
      </c>
      <c r="C11" s="31" t="s">
        <v>24</v>
      </c>
      <c r="D11" s="28" t="s">
        <v>114</v>
      </c>
      <c r="E11" s="12">
        <v>48</v>
      </c>
      <c r="F11">
        <v>1.3660000000000001</v>
      </c>
      <c r="G11">
        <v>1.3139000000000001</v>
      </c>
      <c r="H11">
        <v>1.3201000000000001</v>
      </c>
      <c r="I11" s="12">
        <v>1.67</v>
      </c>
      <c r="J11" t="s">
        <v>37</v>
      </c>
      <c r="K11" s="27" t="s">
        <v>37</v>
      </c>
      <c r="L11">
        <v>2.7673999999999999</v>
      </c>
    </row>
    <row r="12" spans="1:12" x14ac:dyDescent="0.25">
      <c r="A12" s="7">
        <v>36</v>
      </c>
      <c r="B12" s="3">
        <v>5</v>
      </c>
      <c r="C12" s="26" t="s">
        <v>14</v>
      </c>
      <c r="D12" s="28" t="s">
        <v>115</v>
      </c>
      <c r="E12" s="12">
        <v>20</v>
      </c>
      <c r="F12">
        <v>0.34549999999999997</v>
      </c>
      <c r="G12">
        <v>0.34549999999999997</v>
      </c>
      <c r="H12">
        <v>0.34549999999999997</v>
      </c>
      <c r="I12" s="12">
        <v>0.44</v>
      </c>
      <c r="J12" s="8" t="s">
        <v>37</v>
      </c>
      <c r="K12" s="12" t="s">
        <v>37</v>
      </c>
      <c r="L12" s="41">
        <v>0.3679</v>
      </c>
    </row>
    <row r="13" spans="1:12" x14ac:dyDescent="0.25">
      <c r="A13" s="7">
        <v>40</v>
      </c>
      <c r="B13" s="3">
        <v>5</v>
      </c>
      <c r="C13" s="26" t="s">
        <v>14</v>
      </c>
      <c r="D13" s="28" t="s">
        <v>116</v>
      </c>
      <c r="E13" s="12">
        <v>44</v>
      </c>
      <c r="F13">
        <v>1.0266</v>
      </c>
      <c r="G13">
        <v>1.0491999999999999</v>
      </c>
      <c r="H13">
        <v>1.0797000000000001</v>
      </c>
      <c r="I13" s="12"/>
      <c r="J13" s="12" t="s">
        <v>37</v>
      </c>
      <c r="K13" s="8" t="s">
        <v>37</v>
      </c>
      <c r="L13">
        <v>1.3140000000000001</v>
      </c>
    </row>
    <row r="14" spans="1:12" x14ac:dyDescent="0.25">
      <c r="A14" s="7">
        <v>44</v>
      </c>
      <c r="B14" s="3">
        <v>5</v>
      </c>
      <c r="C14" s="26" t="s">
        <v>14</v>
      </c>
      <c r="D14" s="28" t="s">
        <v>117</v>
      </c>
      <c r="E14" s="12">
        <v>35</v>
      </c>
      <c r="F14">
        <v>0.54320000000000002</v>
      </c>
      <c r="G14">
        <v>0.50029999999999997</v>
      </c>
      <c r="H14">
        <v>0.50029999999999997</v>
      </c>
      <c r="I14" s="12">
        <v>0.64</v>
      </c>
      <c r="J14" s="8" t="s">
        <v>37</v>
      </c>
      <c r="K14" s="12" t="s">
        <v>37</v>
      </c>
      <c r="L14">
        <v>0.72829999999999995</v>
      </c>
    </row>
    <row r="15" spans="1:12" x14ac:dyDescent="0.25">
      <c r="A15" s="7">
        <v>47</v>
      </c>
      <c r="B15" s="3">
        <v>6</v>
      </c>
      <c r="C15" s="31" t="s">
        <v>24</v>
      </c>
      <c r="D15" s="28" t="s">
        <v>118</v>
      </c>
      <c r="E15" s="12">
        <v>26</v>
      </c>
      <c r="F15">
        <v>3.4073000000000002</v>
      </c>
      <c r="G15">
        <v>2.6242000000000001</v>
      </c>
      <c r="H15">
        <v>3.1223000000000001</v>
      </c>
      <c r="I15" s="12">
        <v>3.3</v>
      </c>
      <c r="J15" s="8" t="s">
        <v>37</v>
      </c>
      <c r="K15" s="12" t="s">
        <v>37</v>
      </c>
      <c r="L15">
        <v>5.0106999999999999</v>
      </c>
    </row>
    <row r="16" spans="1:12" x14ac:dyDescent="0.25">
      <c r="A16" s="7">
        <v>52</v>
      </c>
      <c r="B16" s="3">
        <v>6</v>
      </c>
      <c r="C16" s="31" t="s">
        <v>24</v>
      </c>
      <c r="D16" s="28" t="s">
        <v>119</v>
      </c>
      <c r="E16" s="43">
        <v>12</v>
      </c>
      <c r="F16">
        <v>0.33260000000000001</v>
      </c>
      <c r="G16">
        <v>0.36399999999999999</v>
      </c>
      <c r="H16">
        <v>0.35289999999999999</v>
      </c>
      <c r="I16" s="43">
        <v>0.44</v>
      </c>
      <c r="J16" s="8" t="s">
        <v>37</v>
      </c>
      <c r="K16" s="12" t="s">
        <v>37</v>
      </c>
      <c r="L16">
        <v>1.7532000000000001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6"/>
  <sheetViews>
    <sheetView topLeftCell="A5" zoomScaleNormal="100" workbookViewId="0">
      <selection activeCell="L11" sqref="L11"/>
    </sheetView>
  </sheetViews>
  <sheetFormatPr baseColWidth="10" defaultColWidth="8.5703125" defaultRowHeight="15" x14ac:dyDescent="0.25"/>
  <sheetData>
    <row r="1" spans="1:15" ht="36" x14ac:dyDescent="0.25">
      <c r="A1" s="50" t="s">
        <v>0</v>
      </c>
      <c r="B1" s="51" t="s">
        <v>1</v>
      </c>
      <c r="C1" s="50" t="s">
        <v>2</v>
      </c>
      <c r="D1" s="51" t="s">
        <v>3</v>
      </c>
      <c r="E1" s="50" t="s">
        <v>4</v>
      </c>
      <c r="F1" s="52" t="s">
        <v>5</v>
      </c>
      <c r="G1" s="53" t="s">
        <v>7</v>
      </c>
      <c r="H1" s="54" t="s">
        <v>9</v>
      </c>
      <c r="I1" s="53" t="s">
        <v>10</v>
      </c>
      <c r="J1" s="54" t="s">
        <v>11</v>
      </c>
      <c r="K1" s="53" t="s">
        <v>195</v>
      </c>
      <c r="L1" s="54" t="s">
        <v>51</v>
      </c>
      <c r="M1" s="53" t="s">
        <v>52</v>
      </c>
      <c r="N1" s="55" t="s">
        <v>8</v>
      </c>
    </row>
    <row r="2" spans="1:15" ht="23.25" x14ac:dyDescent="0.25">
      <c r="A2" s="56" t="s">
        <v>13</v>
      </c>
      <c r="B2" s="57">
        <v>1</v>
      </c>
      <c r="C2" s="58" t="s">
        <v>14</v>
      </c>
      <c r="D2" s="59">
        <v>2</v>
      </c>
      <c r="E2" s="58" t="s">
        <v>16</v>
      </c>
      <c r="F2" s="61" t="s">
        <v>105</v>
      </c>
      <c r="G2" s="60">
        <v>11</v>
      </c>
      <c r="H2" s="44">
        <v>0.48</v>
      </c>
      <c r="I2" s="60">
        <v>0.51</v>
      </c>
      <c r="J2" s="44">
        <v>0.71</v>
      </c>
      <c r="K2" s="60">
        <v>0.5</v>
      </c>
      <c r="L2" s="44" t="s">
        <v>37</v>
      </c>
      <c r="M2" s="60" t="s">
        <v>37</v>
      </c>
      <c r="N2" s="60"/>
    </row>
    <row r="3" spans="1:15" x14ac:dyDescent="0.25">
      <c r="A3" s="56" t="s">
        <v>13</v>
      </c>
      <c r="B3" s="57">
        <v>1</v>
      </c>
      <c r="C3" s="58" t="s">
        <v>14</v>
      </c>
      <c r="D3" s="59">
        <v>3</v>
      </c>
      <c r="E3" s="58" t="s">
        <v>16</v>
      </c>
      <c r="F3" s="62" t="s">
        <v>106</v>
      </c>
      <c r="G3" s="63">
        <v>28</v>
      </c>
      <c r="H3" s="64">
        <v>1.62</v>
      </c>
      <c r="I3" s="63">
        <v>1.5</v>
      </c>
      <c r="J3" s="64">
        <v>1.46</v>
      </c>
      <c r="K3" s="63">
        <v>1.94</v>
      </c>
      <c r="L3" s="44" t="s">
        <v>37</v>
      </c>
      <c r="M3" s="60" t="s">
        <v>37</v>
      </c>
      <c r="N3" s="60"/>
    </row>
    <row r="4" spans="1:15" ht="23.25" x14ac:dyDescent="0.25">
      <c r="A4" s="56" t="s">
        <v>13</v>
      </c>
      <c r="B4" s="57">
        <v>1</v>
      </c>
      <c r="C4" s="58" t="s">
        <v>14</v>
      </c>
      <c r="D4" s="59">
        <v>5</v>
      </c>
      <c r="E4" s="58" t="s">
        <v>16</v>
      </c>
      <c r="F4" s="61" t="s">
        <v>107</v>
      </c>
      <c r="G4" s="63">
        <v>44</v>
      </c>
      <c r="H4" s="64">
        <v>1.1399999999999999</v>
      </c>
      <c r="I4" s="63">
        <v>1.0900000000000001</v>
      </c>
      <c r="J4" s="64">
        <v>1.1000000000000001</v>
      </c>
      <c r="K4" s="63">
        <v>1.26</v>
      </c>
      <c r="L4" s="64" t="s">
        <v>37</v>
      </c>
      <c r="M4" s="63" t="s">
        <v>37</v>
      </c>
      <c r="N4" s="60"/>
    </row>
    <row r="5" spans="1:15" ht="23.25" x14ac:dyDescent="0.25">
      <c r="A5" s="56" t="s">
        <v>13</v>
      </c>
      <c r="B5" s="57">
        <v>2</v>
      </c>
      <c r="C5" s="58" t="s">
        <v>14</v>
      </c>
      <c r="D5" s="59">
        <v>8</v>
      </c>
      <c r="E5" s="58" t="s">
        <v>16</v>
      </c>
      <c r="F5" s="61" t="s">
        <v>108</v>
      </c>
      <c r="G5" s="63">
        <v>28</v>
      </c>
      <c r="H5" s="63">
        <v>0.79</v>
      </c>
      <c r="I5" s="63">
        <v>0.86</v>
      </c>
      <c r="J5" s="64">
        <v>0.82</v>
      </c>
      <c r="K5" s="63">
        <v>1.28</v>
      </c>
      <c r="L5" s="64" t="s">
        <v>37</v>
      </c>
      <c r="M5" s="63" t="s">
        <v>37</v>
      </c>
      <c r="N5" s="65"/>
    </row>
    <row r="6" spans="1:15" ht="23.25" x14ac:dyDescent="0.25">
      <c r="A6" s="56" t="s">
        <v>13</v>
      </c>
      <c r="B6" s="57">
        <v>2</v>
      </c>
      <c r="C6" s="58" t="s">
        <v>14</v>
      </c>
      <c r="D6" s="59">
        <v>9</v>
      </c>
      <c r="E6" s="58" t="s">
        <v>16</v>
      </c>
      <c r="F6" s="61" t="s">
        <v>109</v>
      </c>
      <c r="G6" s="63">
        <v>28</v>
      </c>
      <c r="H6" s="64">
        <v>0.85</v>
      </c>
      <c r="I6" s="63">
        <v>0.86</v>
      </c>
      <c r="J6" s="64">
        <v>0.8</v>
      </c>
      <c r="K6" s="63">
        <v>0.9</v>
      </c>
      <c r="L6" s="63" t="s">
        <v>37</v>
      </c>
      <c r="M6" s="63" t="s">
        <v>37</v>
      </c>
      <c r="N6" s="65"/>
    </row>
    <row r="7" spans="1:15" ht="23.25" x14ac:dyDescent="0.25">
      <c r="A7" s="56" t="s">
        <v>13</v>
      </c>
      <c r="B7" s="57">
        <v>2</v>
      </c>
      <c r="C7" s="58" t="s">
        <v>14</v>
      </c>
      <c r="D7" s="59">
        <v>10</v>
      </c>
      <c r="E7" s="58" t="s">
        <v>16</v>
      </c>
      <c r="F7" s="61" t="s">
        <v>110</v>
      </c>
      <c r="G7" s="63">
        <v>48</v>
      </c>
      <c r="H7" s="64">
        <v>1.0900000000000001</v>
      </c>
      <c r="I7" s="63">
        <v>1</v>
      </c>
      <c r="J7" s="64">
        <v>1.05</v>
      </c>
      <c r="K7" s="63">
        <v>1.2</v>
      </c>
      <c r="L7" s="63" t="s">
        <v>37</v>
      </c>
      <c r="M7" s="63" t="s">
        <v>37</v>
      </c>
      <c r="N7" s="65"/>
    </row>
    <row r="8" spans="1:15" ht="23.25" x14ac:dyDescent="0.25">
      <c r="A8" s="56" t="s">
        <v>13</v>
      </c>
      <c r="B8" s="57">
        <v>3</v>
      </c>
      <c r="C8" s="58" t="s">
        <v>24</v>
      </c>
      <c r="D8" s="59">
        <v>18</v>
      </c>
      <c r="E8" s="58" t="s">
        <v>16</v>
      </c>
      <c r="F8" s="61" t="s">
        <v>111</v>
      </c>
      <c r="G8" s="60">
        <v>29</v>
      </c>
      <c r="H8" s="64">
        <v>1.99</v>
      </c>
      <c r="I8" s="63">
        <v>1.79</v>
      </c>
      <c r="J8" s="64">
        <v>1.88</v>
      </c>
      <c r="K8" s="63">
        <v>1.94</v>
      </c>
      <c r="L8" s="64" t="s">
        <v>37</v>
      </c>
      <c r="M8" s="63" t="s">
        <v>37</v>
      </c>
      <c r="N8" s="65"/>
    </row>
    <row r="9" spans="1:15" ht="23.25" x14ac:dyDescent="0.25">
      <c r="A9" s="56" t="s">
        <v>13</v>
      </c>
      <c r="B9" s="57">
        <v>3</v>
      </c>
      <c r="C9" s="58" t="s">
        <v>24</v>
      </c>
      <c r="D9" s="59">
        <v>19</v>
      </c>
      <c r="E9" s="58" t="s">
        <v>16</v>
      </c>
      <c r="F9" s="61" t="s">
        <v>112</v>
      </c>
      <c r="G9" s="63">
        <v>27</v>
      </c>
      <c r="H9" s="44">
        <v>1.85</v>
      </c>
      <c r="I9" s="63">
        <v>1.86</v>
      </c>
      <c r="J9" s="64">
        <v>1.79</v>
      </c>
      <c r="K9" s="63">
        <v>1.56</v>
      </c>
      <c r="L9" s="64" t="s">
        <v>37</v>
      </c>
      <c r="M9" s="63" t="s">
        <v>37</v>
      </c>
      <c r="N9" s="65"/>
    </row>
    <row r="10" spans="1:15" ht="23.25" x14ac:dyDescent="0.25">
      <c r="A10" s="56" t="s">
        <v>13</v>
      </c>
      <c r="B10" s="57">
        <v>4</v>
      </c>
      <c r="C10" s="58" t="s">
        <v>24</v>
      </c>
      <c r="D10" s="59">
        <v>26</v>
      </c>
      <c r="E10" s="58" t="s">
        <v>16</v>
      </c>
      <c r="F10" s="61" t="s">
        <v>113</v>
      </c>
      <c r="G10" s="63"/>
      <c r="H10" s="64"/>
      <c r="I10" s="63"/>
      <c r="J10" s="64"/>
      <c r="K10" s="63"/>
      <c r="L10" s="64" t="s">
        <v>37</v>
      </c>
      <c r="M10" s="63" t="s">
        <v>37</v>
      </c>
      <c r="N10" s="65"/>
    </row>
    <row r="11" spans="1:15" ht="23.25" x14ac:dyDescent="0.25">
      <c r="A11" s="56" t="s">
        <v>13</v>
      </c>
      <c r="B11" s="57">
        <v>4</v>
      </c>
      <c r="C11" s="58" t="s">
        <v>24</v>
      </c>
      <c r="D11" s="59">
        <v>30</v>
      </c>
      <c r="E11" s="58" t="s">
        <v>16</v>
      </c>
      <c r="F11" s="61" t="s">
        <v>114</v>
      </c>
      <c r="G11" s="63">
        <v>48</v>
      </c>
      <c r="H11" s="64">
        <v>1.41</v>
      </c>
      <c r="I11" s="63">
        <v>1.37</v>
      </c>
      <c r="J11" s="64">
        <v>1.37</v>
      </c>
      <c r="K11" s="63">
        <v>1.67</v>
      </c>
      <c r="L11" s="44" t="s">
        <v>37</v>
      </c>
      <c r="M11" s="60" t="s">
        <v>37</v>
      </c>
      <c r="N11" s="63"/>
    </row>
    <row r="12" spans="1:15" ht="23.25" x14ac:dyDescent="0.25">
      <c r="A12" s="56" t="s">
        <v>13</v>
      </c>
      <c r="B12" s="57">
        <v>5</v>
      </c>
      <c r="C12" s="58" t="s">
        <v>14</v>
      </c>
      <c r="D12" s="59">
        <v>36</v>
      </c>
      <c r="E12" s="58" t="s">
        <v>16</v>
      </c>
      <c r="F12" s="61" t="s">
        <v>115</v>
      </c>
      <c r="G12" s="63">
        <v>20</v>
      </c>
      <c r="H12" s="64">
        <v>0.51</v>
      </c>
      <c r="I12" s="63">
        <v>0.44</v>
      </c>
      <c r="J12" s="64">
        <v>0.51</v>
      </c>
      <c r="K12" s="63">
        <v>0.44</v>
      </c>
      <c r="L12" s="64" t="s">
        <v>37</v>
      </c>
      <c r="M12" s="63" t="s">
        <v>37</v>
      </c>
      <c r="N12" s="65"/>
    </row>
    <row r="13" spans="1:15" ht="23.25" x14ac:dyDescent="0.25">
      <c r="A13" s="56" t="s">
        <v>13</v>
      </c>
      <c r="B13" s="57">
        <v>5</v>
      </c>
      <c r="C13" s="58" t="s">
        <v>14</v>
      </c>
      <c r="D13" s="59">
        <v>40</v>
      </c>
      <c r="E13" s="58" t="s">
        <v>16</v>
      </c>
      <c r="F13" s="61" t="s">
        <v>116</v>
      </c>
      <c r="G13" s="63">
        <v>44</v>
      </c>
      <c r="H13" s="64">
        <v>1.04</v>
      </c>
      <c r="I13" s="63">
        <v>1.06</v>
      </c>
      <c r="J13" s="64">
        <v>1.08</v>
      </c>
      <c r="K13" s="63"/>
      <c r="L13" s="63" t="s">
        <v>37</v>
      </c>
      <c r="M13" s="64" t="s">
        <v>37</v>
      </c>
      <c r="N13" s="65"/>
    </row>
    <row r="14" spans="1:15" ht="23.25" x14ac:dyDescent="0.25">
      <c r="A14" s="56" t="s">
        <v>13</v>
      </c>
      <c r="B14" s="57">
        <v>5</v>
      </c>
      <c r="C14" s="58" t="s">
        <v>14</v>
      </c>
      <c r="D14" s="59">
        <v>44</v>
      </c>
      <c r="E14" s="58" t="s">
        <v>16</v>
      </c>
      <c r="F14" s="61" t="s">
        <v>117</v>
      </c>
      <c r="G14" s="63">
        <v>35</v>
      </c>
      <c r="H14" s="64">
        <v>0.62</v>
      </c>
      <c r="I14" s="63">
        <v>0.59</v>
      </c>
      <c r="J14" s="64">
        <v>0.53</v>
      </c>
      <c r="K14" s="63">
        <v>0.64</v>
      </c>
      <c r="L14" s="64" t="s">
        <v>37</v>
      </c>
      <c r="M14" s="63" t="s">
        <v>37</v>
      </c>
      <c r="N14" s="65"/>
    </row>
    <row r="15" spans="1:15" ht="23.25" x14ac:dyDescent="0.25">
      <c r="A15" s="56" t="s">
        <v>13</v>
      </c>
      <c r="B15" s="57">
        <v>6</v>
      </c>
      <c r="C15" s="58" t="s">
        <v>24</v>
      </c>
      <c r="D15" s="59">
        <v>47</v>
      </c>
      <c r="E15" s="58" t="s">
        <v>16</v>
      </c>
      <c r="F15" s="61" t="s">
        <v>118</v>
      </c>
      <c r="G15" s="63"/>
      <c r="H15" s="64">
        <v>2.74</v>
      </c>
      <c r="I15" s="63">
        <v>3.47</v>
      </c>
      <c r="J15" s="64">
        <v>3.14</v>
      </c>
      <c r="K15" s="63">
        <v>3.3</v>
      </c>
      <c r="L15" s="64" t="s">
        <v>37</v>
      </c>
      <c r="M15" s="63" t="s">
        <v>37</v>
      </c>
      <c r="N15" s="65"/>
    </row>
    <row r="16" spans="1:15" ht="23.25" x14ac:dyDescent="0.25">
      <c r="A16" s="56" t="s">
        <v>13</v>
      </c>
      <c r="B16" s="57">
        <v>6</v>
      </c>
      <c r="C16" s="58" t="s">
        <v>24</v>
      </c>
      <c r="D16" s="59">
        <v>52</v>
      </c>
      <c r="E16" s="58" t="s">
        <v>16</v>
      </c>
      <c r="F16" s="61" t="s">
        <v>119</v>
      </c>
      <c r="G16" s="66">
        <v>12</v>
      </c>
      <c r="H16" s="67">
        <v>0.27</v>
      </c>
      <c r="I16" s="66">
        <v>0.26</v>
      </c>
      <c r="J16" s="67">
        <v>0.4</v>
      </c>
      <c r="K16" s="66">
        <v>0.44</v>
      </c>
      <c r="L16" s="64" t="s">
        <v>37</v>
      </c>
      <c r="M16" s="63" t="s">
        <v>37</v>
      </c>
      <c r="N16" s="68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6517-B91B-4061-867D-8EB3BAD5F5CB}">
  <dimension ref="A1:P20"/>
  <sheetViews>
    <sheetView zoomScale="130" zoomScaleNormal="130" workbookViewId="0">
      <pane xSplit="1" topLeftCell="B1" activePane="topRight" state="frozen"/>
      <selection pane="topRight" activeCell="A12" sqref="A12:J12"/>
    </sheetView>
  </sheetViews>
  <sheetFormatPr baseColWidth="10" defaultRowHeight="15" x14ac:dyDescent="0.25"/>
  <sheetData>
    <row r="1" spans="1:12" ht="24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39" t="s">
        <v>197</v>
      </c>
    </row>
    <row r="2" spans="1:12" x14ac:dyDescent="0.25">
      <c r="A2" s="7">
        <v>2</v>
      </c>
      <c r="B2" s="3">
        <v>1</v>
      </c>
      <c r="C2" s="26" t="s">
        <v>14</v>
      </c>
      <c r="D2" s="28" t="s">
        <v>120</v>
      </c>
      <c r="E2" s="78"/>
      <c r="F2">
        <v>0.66259999999999997</v>
      </c>
      <c r="G2">
        <v>0.71989999999999998</v>
      </c>
      <c r="H2">
        <v>0.55479999999999996</v>
      </c>
      <c r="I2" s="78">
        <v>0.65</v>
      </c>
      <c r="J2">
        <v>1.7295</v>
      </c>
    </row>
    <row r="3" spans="1:12" x14ac:dyDescent="0.25">
      <c r="A3" s="7">
        <v>3</v>
      </c>
      <c r="B3" s="3">
        <v>1</v>
      </c>
      <c r="C3" s="26" t="s">
        <v>14</v>
      </c>
      <c r="D3" s="29" t="s">
        <v>121</v>
      </c>
      <c r="E3" s="80"/>
      <c r="F3">
        <v>1.9296</v>
      </c>
      <c r="G3">
        <v>1.9778</v>
      </c>
      <c r="H3">
        <v>2.0141</v>
      </c>
      <c r="I3" s="81">
        <v>1.4</v>
      </c>
      <c r="J3">
        <v>2.4716</v>
      </c>
    </row>
    <row r="4" spans="1:12" x14ac:dyDescent="0.25">
      <c r="A4" s="7">
        <v>5</v>
      </c>
      <c r="B4" s="3">
        <v>1</v>
      </c>
      <c r="C4" s="26" t="s">
        <v>14</v>
      </c>
      <c r="D4" s="28" t="s">
        <v>122</v>
      </c>
      <c r="E4" s="80"/>
      <c r="F4">
        <v>1.2987</v>
      </c>
      <c r="G4">
        <v>1.2987</v>
      </c>
      <c r="H4">
        <v>1.2987</v>
      </c>
      <c r="I4" s="81">
        <v>0.21</v>
      </c>
      <c r="J4">
        <v>1.2903</v>
      </c>
    </row>
    <row r="5" spans="1:12" x14ac:dyDescent="0.25">
      <c r="A5" s="7">
        <v>8</v>
      </c>
      <c r="B5" s="3">
        <v>2</v>
      </c>
      <c r="C5" s="26" t="s">
        <v>14</v>
      </c>
      <c r="D5" s="28"/>
      <c r="E5" s="79"/>
      <c r="F5">
        <v>1.5986</v>
      </c>
      <c r="G5">
        <v>1.5760000000000001</v>
      </c>
      <c r="H5">
        <v>1.5760000000000001</v>
      </c>
      <c r="I5" s="80"/>
      <c r="J5">
        <v>1.3832</v>
      </c>
    </row>
    <row r="6" spans="1:12" x14ac:dyDescent="0.25">
      <c r="A6" s="7">
        <v>9</v>
      </c>
      <c r="B6" s="3">
        <v>2</v>
      </c>
      <c r="C6" s="26" t="s">
        <v>14</v>
      </c>
      <c r="D6" s="28" t="s">
        <v>124</v>
      </c>
      <c r="E6" s="80"/>
      <c r="F6">
        <v>0.7097</v>
      </c>
      <c r="G6">
        <v>0.72850000000000004</v>
      </c>
      <c r="H6">
        <v>0.78710000000000002</v>
      </c>
      <c r="I6" s="78">
        <v>0.65</v>
      </c>
      <c r="J6" s="87">
        <v>0.53069999999999995</v>
      </c>
    </row>
    <row r="7" spans="1:12" x14ac:dyDescent="0.25">
      <c r="A7" s="7">
        <v>10</v>
      </c>
      <c r="B7" s="3">
        <v>2</v>
      </c>
      <c r="C7" s="26" t="s">
        <v>14</v>
      </c>
      <c r="D7" s="28" t="s">
        <v>125</v>
      </c>
      <c r="E7" s="80"/>
      <c r="F7">
        <v>1.2</v>
      </c>
      <c r="G7">
        <v>1.1719999999999999</v>
      </c>
      <c r="H7">
        <v>1.2250000000000001</v>
      </c>
      <c r="I7" s="81">
        <v>1.4</v>
      </c>
      <c r="J7" s="87">
        <v>0.84</v>
      </c>
    </row>
    <row r="8" spans="1:12" x14ac:dyDescent="0.25">
      <c r="A8" s="7">
        <v>18</v>
      </c>
      <c r="B8" s="3">
        <v>3</v>
      </c>
      <c r="C8" s="31" t="s">
        <v>24</v>
      </c>
      <c r="D8" s="28" t="s">
        <v>126</v>
      </c>
      <c r="E8" s="79"/>
      <c r="F8">
        <v>1.89</v>
      </c>
      <c r="G8">
        <v>1.7626999999999999</v>
      </c>
      <c r="H8">
        <v>1.7626999999999999</v>
      </c>
      <c r="I8" s="12">
        <v>1.94</v>
      </c>
      <c r="J8">
        <v>1.4311</v>
      </c>
      <c r="K8" s="12"/>
    </row>
    <row r="9" spans="1:12" x14ac:dyDescent="0.25">
      <c r="A9" s="7">
        <v>19</v>
      </c>
      <c r="B9" s="3">
        <v>3</v>
      </c>
      <c r="C9" s="31" t="s">
        <v>24</v>
      </c>
      <c r="D9" s="28"/>
      <c r="E9" s="82"/>
      <c r="F9">
        <v>2.0777999999999999</v>
      </c>
      <c r="G9">
        <v>2.0813000000000001</v>
      </c>
      <c r="H9">
        <v>2.0813000000000001</v>
      </c>
      <c r="I9" s="81"/>
      <c r="J9">
        <v>1.8984000000000001</v>
      </c>
    </row>
    <row r="10" spans="1:12" x14ac:dyDescent="0.25">
      <c r="A10" s="7">
        <v>36</v>
      </c>
      <c r="B10" s="3">
        <v>5</v>
      </c>
      <c r="C10" s="26" t="s">
        <v>14</v>
      </c>
      <c r="D10" s="28" t="s">
        <v>129</v>
      </c>
      <c r="E10" s="80"/>
      <c r="F10">
        <v>0.51429999999999998</v>
      </c>
      <c r="G10">
        <v>0.46710000000000002</v>
      </c>
      <c r="H10">
        <v>0.5484</v>
      </c>
      <c r="I10" s="78"/>
      <c r="J10">
        <v>0.65880000000000005</v>
      </c>
    </row>
    <row r="11" spans="1:12" x14ac:dyDescent="0.25">
      <c r="A11" s="7">
        <v>40</v>
      </c>
      <c r="B11" s="3">
        <v>5</v>
      </c>
      <c r="C11" s="26" t="s">
        <v>14</v>
      </c>
      <c r="D11" s="28" t="s">
        <v>130</v>
      </c>
      <c r="E11" s="80"/>
      <c r="F11">
        <v>0.96330000000000005</v>
      </c>
      <c r="G11">
        <v>0.96109999999999995</v>
      </c>
      <c r="H11">
        <v>0.89070000000000005</v>
      </c>
      <c r="I11" s="78"/>
      <c r="J11">
        <v>1.3773</v>
      </c>
    </row>
    <row r="12" spans="1:12" x14ac:dyDescent="0.25">
      <c r="A12" s="7">
        <v>44</v>
      </c>
      <c r="B12" s="3">
        <v>5</v>
      </c>
      <c r="C12" s="26" t="s">
        <v>14</v>
      </c>
      <c r="D12" s="28" t="s">
        <v>131</v>
      </c>
      <c r="E12" s="80"/>
      <c r="F12">
        <v>0.53459999999999996</v>
      </c>
      <c r="G12">
        <v>0.56610000000000005</v>
      </c>
      <c r="H12">
        <v>0.58809999999999996</v>
      </c>
      <c r="I12" s="78"/>
      <c r="J12">
        <v>0.96860000000000002</v>
      </c>
    </row>
    <row r="13" spans="1:12" x14ac:dyDescent="0.25">
      <c r="A13" s="7">
        <v>47</v>
      </c>
      <c r="B13" s="3">
        <v>6</v>
      </c>
      <c r="C13" s="31" t="s">
        <v>24</v>
      </c>
      <c r="D13" s="28" t="s">
        <v>132</v>
      </c>
      <c r="E13" s="80"/>
      <c r="F13">
        <v>3.7768999999999999</v>
      </c>
      <c r="G13">
        <v>3.7690999999999999</v>
      </c>
      <c r="H13">
        <v>3.7229000000000001</v>
      </c>
      <c r="I13" s="81"/>
      <c r="J13">
        <v>5.0106999999999999</v>
      </c>
    </row>
    <row r="14" spans="1:12" x14ac:dyDescent="0.25">
      <c r="A14" s="7">
        <v>52</v>
      </c>
      <c r="B14" s="3">
        <v>6</v>
      </c>
      <c r="C14" s="31" t="s">
        <v>24</v>
      </c>
      <c r="D14" s="28"/>
      <c r="E14" s="83"/>
      <c r="F14">
        <v>1.3919999999999999</v>
      </c>
      <c r="G14">
        <v>1.3697999999999999</v>
      </c>
      <c r="H14">
        <v>1.3931</v>
      </c>
      <c r="I14" s="78"/>
      <c r="J14">
        <v>1.6917</v>
      </c>
    </row>
    <row r="16" spans="1:12" x14ac:dyDescent="0.25">
      <c r="L16" s="87"/>
    </row>
    <row r="17" spans="8:16" x14ac:dyDescent="0.25">
      <c r="L17" s="87"/>
      <c r="P17" s="87"/>
    </row>
    <row r="18" spans="8:16" x14ac:dyDescent="0.25">
      <c r="P18" s="87"/>
    </row>
    <row r="19" spans="8:16" x14ac:dyDescent="0.25">
      <c r="H19" s="87"/>
      <c r="L19" s="87"/>
      <c r="P19" s="87"/>
    </row>
    <row r="20" spans="8:16" x14ac:dyDescent="0.25">
      <c r="L20" s="87"/>
      <c r="P20" s="8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="145" zoomScaleNormal="145" workbookViewId="0">
      <pane xSplit="1" topLeftCell="B1" activePane="topRight" state="frozen"/>
      <selection pane="topRight" activeCell="J7" sqref="J7"/>
    </sheetView>
  </sheetViews>
  <sheetFormatPr baseColWidth="10" defaultColWidth="9.140625" defaultRowHeight="15" x14ac:dyDescent="0.25"/>
  <sheetData>
    <row r="1" spans="1:12" ht="13.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39" t="s">
        <v>197</v>
      </c>
    </row>
    <row r="2" spans="1:12" x14ac:dyDescent="0.25">
      <c r="A2" s="7">
        <v>2</v>
      </c>
      <c r="B2" s="3">
        <v>1</v>
      </c>
      <c r="C2" s="26" t="s">
        <v>14</v>
      </c>
      <c r="D2" s="28" t="s">
        <v>120</v>
      </c>
      <c r="E2" s="27">
        <v>24</v>
      </c>
      <c r="F2">
        <v>0.51349999999999996</v>
      </c>
      <c r="G2">
        <v>0.51349999999999996</v>
      </c>
      <c r="H2">
        <v>0.54359999999999997</v>
      </c>
      <c r="I2" s="27">
        <v>0.49</v>
      </c>
      <c r="J2">
        <v>1.0454000000000001</v>
      </c>
    </row>
    <row r="3" spans="1:12" x14ac:dyDescent="0.25">
      <c r="A3" s="7">
        <v>3</v>
      </c>
      <c r="B3" s="3">
        <v>1</v>
      </c>
      <c r="C3" s="26" t="s">
        <v>14</v>
      </c>
      <c r="D3" s="29" t="s">
        <v>121</v>
      </c>
      <c r="E3" s="12">
        <v>52</v>
      </c>
      <c r="F3">
        <v>1.4603999999999999</v>
      </c>
      <c r="G3">
        <v>1.4519</v>
      </c>
      <c r="H3">
        <v>1.4497</v>
      </c>
      <c r="I3" s="12">
        <v>1.5469999999999999</v>
      </c>
      <c r="J3">
        <v>2.2479</v>
      </c>
    </row>
    <row r="4" spans="1:12" x14ac:dyDescent="0.25">
      <c r="A4" s="7">
        <v>5</v>
      </c>
      <c r="B4" s="3">
        <v>1</v>
      </c>
      <c r="C4" s="26" t="s">
        <v>14</v>
      </c>
      <c r="D4" s="28" t="s">
        <v>122</v>
      </c>
      <c r="E4" s="12">
        <v>46</v>
      </c>
      <c r="F4">
        <v>1.0653999999999999</v>
      </c>
      <c r="G4">
        <v>0.94069999999999998</v>
      </c>
      <c r="H4">
        <v>0.91369999999999996</v>
      </c>
      <c r="I4" s="12">
        <v>1.0469999999999999</v>
      </c>
      <c r="J4">
        <v>1.6375</v>
      </c>
    </row>
    <row r="5" spans="1:12" x14ac:dyDescent="0.25">
      <c r="A5" s="7">
        <v>8</v>
      </c>
      <c r="B5" s="3">
        <v>2</v>
      </c>
      <c r="C5" s="26" t="s">
        <v>14</v>
      </c>
      <c r="D5" s="28" t="s">
        <v>123</v>
      </c>
      <c r="E5">
        <v>61</v>
      </c>
      <c r="F5">
        <v>1.3029999999999999</v>
      </c>
      <c r="G5">
        <v>1.2332000000000001</v>
      </c>
      <c r="H5">
        <v>0.80969999999999998</v>
      </c>
      <c r="I5" s="12">
        <v>0.89700000000000002</v>
      </c>
      <c r="J5">
        <v>0.56810000000000005</v>
      </c>
    </row>
    <row r="6" spans="1:12" x14ac:dyDescent="0.25">
      <c r="A6" s="7">
        <v>9</v>
      </c>
      <c r="B6" s="3">
        <v>2</v>
      </c>
      <c r="C6" s="26" t="s">
        <v>14</v>
      </c>
      <c r="D6" s="28" t="s">
        <v>124</v>
      </c>
      <c r="E6" s="12">
        <v>22</v>
      </c>
      <c r="F6">
        <v>0.63500000000000001</v>
      </c>
      <c r="G6">
        <v>0.73140000000000005</v>
      </c>
      <c r="H6">
        <v>0.73180000000000001</v>
      </c>
      <c r="I6" s="12">
        <v>0.70299999999999996</v>
      </c>
      <c r="J6">
        <v>0.54</v>
      </c>
    </row>
    <row r="7" spans="1:12" ht="23.25" x14ac:dyDescent="0.25">
      <c r="A7" s="7">
        <v>10</v>
      </c>
      <c r="B7" s="3">
        <v>2</v>
      </c>
      <c r="C7" s="26" t="s">
        <v>14</v>
      </c>
      <c r="D7" s="28" t="s">
        <v>125</v>
      </c>
      <c r="E7" s="12">
        <v>30</v>
      </c>
      <c r="F7">
        <v>0.79659999999999997</v>
      </c>
      <c r="G7">
        <v>0.78420000000000001</v>
      </c>
      <c r="H7">
        <v>0.89470000000000005</v>
      </c>
      <c r="I7" s="12">
        <v>1</v>
      </c>
      <c r="J7">
        <v>0.68520000000000003</v>
      </c>
    </row>
    <row r="8" spans="1:12" ht="23.25" x14ac:dyDescent="0.25">
      <c r="A8" s="7">
        <v>18</v>
      </c>
      <c r="B8" s="3">
        <v>3</v>
      </c>
      <c r="C8" s="31" t="s">
        <v>24</v>
      </c>
      <c r="D8" s="28" t="s">
        <v>126</v>
      </c>
      <c r="E8">
        <v>41</v>
      </c>
      <c r="F8">
        <v>1.6140000000000001</v>
      </c>
      <c r="G8">
        <v>1.6617</v>
      </c>
      <c r="H8">
        <v>1.7101</v>
      </c>
      <c r="I8" s="12">
        <v>1.43</v>
      </c>
      <c r="J8">
        <v>1.3234999999999999</v>
      </c>
    </row>
    <row r="9" spans="1:12" ht="23.25" x14ac:dyDescent="0.25">
      <c r="A9" s="7">
        <v>26</v>
      </c>
      <c r="B9" s="3">
        <v>4</v>
      </c>
      <c r="C9" s="31" t="s">
        <v>24</v>
      </c>
      <c r="D9" s="28" t="s">
        <v>127</v>
      </c>
      <c r="E9" s="12">
        <v>9</v>
      </c>
      <c r="F9">
        <v>0.41149999999999998</v>
      </c>
      <c r="G9">
        <v>0.4476</v>
      </c>
      <c r="H9">
        <v>0.43790000000000001</v>
      </c>
      <c r="I9" s="12">
        <v>0.499</v>
      </c>
      <c r="J9">
        <v>0.63690000000000002</v>
      </c>
    </row>
    <row r="10" spans="1:12" ht="23.25" x14ac:dyDescent="0.25">
      <c r="A10" s="7">
        <v>30</v>
      </c>
      <c r="B10" s="3">
        <v>4</v>
      </c>
      <c r="C10" s="31" t="s">
        <v>24</v>
      </c>
      <c r="D10" s="28" t="s">
        <v>128</v>
      </c>
      <c r="E10" s="12">
        <v>29</v>
      </c>
      <c r="F10">
        <v>1.4946999999999999</v>
      </c>
      <c r="G10">
        <v>1.5381</v>
      </c>
      <c r="H10">
        <v>1.4505999999999999</v>
      </c>
      <c r="I10" s="12">
        <v>1.2809999999999999</v>
      </c>
      <c r="J10">
        <v>2.577</v>
      </c>
    </row>
    <row r="11" spans="1:12" ht="23.25" x14ac:dyDescent="0.25">
      <c r="A11" s="7">
        <v>36</v>
      </c>
      <c r="B11" s="3">
        <v>5</v>
      </c>
      <c r="C11" s="26" t="s">
        <v>14</v>
      </c>
      <c r="D11" s="28" t="s">
        <v>129</v>
      </c>
      <c r="E11" s="12">
        <v>19</v>
      </c>
      <c r="F11">
        <v>0.33579999999999999</v>
      </c>
      <c r="G11">
        <v>0.47939999999999999</v>
      </c>
      <c r="H11">
        <v>0.2762</v>
      </c>
      <c r="I11" s="12">
        <v>0.45500000000000002</v>
      </c>
      <c r="J11">
        <v>0.40500000000000003</v>
      </c>
    </row>
    <row r="12" spans="1:12" ht="23.25" x14ac:dyDescent="0.25">
      <c r="A12" s="7">
        <v>40</v>
      </c>
      <c r="B12" s="3">
        <v>5</v>
      </c>
      <c r="C12" s="26" t="s">
        <v>14</v>
      </c>
      <c r="D12" s="28" t="s">
        <v>130</v>
      </c>
      <c r="E12" s="12">
        <v>34</v>
      </c>
      <c r="F12">
        <v>0.91020000000000001</v>
      </c>
      <c r="G12">
        <v>0.95940000000000003</v>
      </c>
      <c r="H12">
        <v>0.96040000000000003</v>
      </c>
      <c r="I12" s="12">
        <v>1.024</v>
      </c>
      <c r="J12">
        <v>1.3116000000000001</v>
      </c>
    </row>
    <row r="13" spans="1:12" ht="23.25" x14ac:dyDescent="0.25">
      <c r="A13" s="7">
        <v>44</v>
      </c>
      <c r="B13" s="3">
        <v>5</v>
      </c>
      <c r="C13" s="26" t="s">
        <v>14</v>
      </c>
      <c r="D13" s="28" t="s">
        <v>131</v>
      </c>
      <c r="E13" s="12">
        <v>49</v>
      </c>
      <c r="F13">
        <v>0.68910000000000005</v>
      </c>
      <c r="G13">
        <v>0.69069999999999998</v>
      </c>
      <c r="H13">
        <v>0.6169</v>
      </c>
      <c r="I13" s="8">
        <v>0.70399999999999996</v>
      </c>
      <c r="J13">
        <v>1.0769</v>
      </c>
    </row>
    <row r="14" spans="1:12" ht="23.25" x14ac:dyDescent="0.25">
      <c r="A14" s="7">
        <v>47</v>
      </c>
      <c r="B14" s="3">
        <v>6</v>
      </c>
      <c r="C14" s="31" t="s">
        <v>24</v>
      </c>
      <c r="D14" s="28" t="s">
        <v>132</v>
      </c>
      <c r="E14" s="12">
        <v>21</v>
      </c>
      <c r="F14">
        <v>3.1829000000000001</v>
      </c>
      <c r="G14">
        <v>3.1829000000000001</v>
      </c>
      <c r="H14">
        <v>3.1829000000000001</v>
      </c>
      <c r="I14" s="12">
        <v>0.47599999999999998</v>
      </c>
      <c r="J14">
        <v>3.3614999999999999</v>
      </c>
    </row>
    <row r="16" spans="1:12" x14ac:dyDescent="0.25">
      <c r="L16" s="87"/>
    </row>
    <row r="17" spans="12:16" x14ac:dyDescent="0.25">
      <c r="L17" s="87"/>
      <c r="P17" s="87"/>
    </row>
    <row r="18" spans="12:16" x14ac:dyDescent="0.25">
      <c r="L18" s="87"/>
    </row>
    <row r="19" spans="12:16" x14ac:dyDescent="0.25">
      <c r="L19" s="8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"/>
  <sheetViews>
    <sheetView tabSelected="1" zoomScale="130" zoomScaleNormal="130" workbookViewId="0">
      <pane xSplit="1" topLeftCell="C1" activePane="topRight" state="frozen"/>
      <selection pane="topRight" activeCell="K14" sqref="K14"/>
    </sheetView>
  </sheetViews>
  <sheetFormatPr baseColWidth="10" defaultColWidth="8.5703125" defaultRowHeight="15" x14ac:dyDescent="0.25"/>
  <cols>
    <col min="4" max="4" width="12.28515625" customWidth="1"/>
    <col min="10" max="10" width="10.42578125" bestFit="1" customWidth="1"/>
    <col min="1013" max="1021" width="9.140625" customWidth="1"/>
  </cols>
  <sheetData>
    <row r="1" spans="1:11" ht="1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39" t="s">
        <v>197</v>
      </c>
    </row>
    <row r="2" spans="1:11" x14ac:dyDescent="0.25">
      <c r="A2" s="7">
        <v>2</v>
      </c>
      <c r="B2" s="3">
        <v>1</v>
      </c>
      <c r="C2" s="26" t="s">
        <v>14</v>
      </c>
      <c r="D2" s="28" t="s">
        <v>134</v>
      </c>
      <c r="E2" s="27">
        <v>5</v>
      </c>
      <c r="F2">
        <v>1.0566</v>
      </c>
      <c r="G2">
        <v>0.94850000000000001</v>
      </c>
      <c r="H2">
        <v>0.90010000000000001</v>
      </c>
      <c r="I2" s="27">
        <v>0.28000000000000003</v>
      </c>
      <c r="J2">
        <v>1.2619</v>
      </c>
    </row>
    <row r="3" spans="1:11" ht="15" customHeight="1" x14ac:dyDescent="0.25">
      <c r="A3" s="7">
        <v>3</v>
      </c>
      <c r="B3" s="3">
        <v>1</v>
      </c>
      <c r="C3" s="26" t="s">
        <v>14</v>
      </c>
      <c r="D3" s="29" t="s">
        <v>135</v>
      </c>
      <c r="E3" s="12">
        <v>33</v>
      </c>
      <c r="F3">
        <v>1.7807999999999999</v>
      </c>
      <c r="G3">
        <v>1.8371999999999999</v>
      </c>
      <c r="H3">
        <v>1.7612000000000001</v>
      </c>
      <c r="I3" s="12">
        <v>2.04</v>
      </c>
      <c r="J3">
        <v>1.7709999999999999</v>
      </c>
    </row>
    <row r="4" spans="1:11" x14ac:dyDescent="0.25">
      <c r="A4" s="7">
        <v>5</v>
      </c>
      <c r="B4" s="3">
        <v>1</v>
      </c>
      <c r="C4" s="26" t="s">
        <v>14</v>
      </c>
      <c r="D4" s="28"/>
      <c r="E4" s="32"/>
      <c r="F4">
        <v>1.2949999999999999</v>
      </c>
      <c r="G4">
        <v>1.2104999999999999</v>
      </c>
      <c r="H4">
        <v>1.2104999999999999</v>
      </c>
      <c r="I4" s="12"/>
      <c r="J4">
        <v>1.841</v>
      </c>
    </row>
    <row r="5" spans="1:11" x14ac:dyDescent="0.25">
      <c r="A5" s="7">
        <v>8</v>
      </c>
      <c r="B5" s="3">
        <v>2</v>
      </c>
      <c r="C5" s="26" t="s">
        <v>14</v>
      </c>
      <c r="D5" s="28" t="s">
        <v>136</v>
      </c>
      <c r="E5" s="12">
        <v>22</v>
      </c>
      <c r="F5">
        <v>0.6492</v>
      </c>
      <c r="G5">
        <v>0.6341</v>
      </c>
      <c r="H5">
        <v>0.63790000000000002</v>
      </c>
      <c r="I5" s="12">
        <v>0.68</v>
      </c>
      <c r="J5">
        <v>0.3745</v>
      </c>
    </row>
    <row r="6" spans="1:11" x14ac:dyDescent="0.25">
      <c r="A6" s="7">
        <v>9</v>
      </c>
      <c r="B6" s="3">
        <v>2</v>
      </c>
      <c r="C6" s="26" t="s">
        <v>14</v>
      </c>
      <c r="D6" s="28" t="s">
        <v>137</v>
      </c>
      <c r="E6" s="12">
        <v>26</v>
      </c>
      <c r="F6">
        <v>1.2978000000000001</v>
      </c>
      <c r="G6">
        <v>1.2250000000000001</v>
      </c>
      <c r="H6">
        <v>1.3603000000000001</v>
      </c>
      <c r="I6" s="12">
        <v>1.42</v>
      </c>
      <c r="J6">
        <v>0.87570000000000003</v>
      </c>
    </row>
    <row r="7" spans="1:11" x14ac:dyDescent="0.25">
      <c r="A7" s="7">
        <v>10</v>
      </c>
      <c r="B7" s="3">
        <v>2</v>
      </c>
      <c r="C7" s="26" t="s">
        <v>14</v>
      </c>
      <c r="D7" s="28" t="s">
        <v>138</v>
      </c>
      <c r="E7" s="12">
        <v>38</v>
      </c>
      <c r="F7">
        <v>0.99690000000000001</v>
      </c>
      <c r="G7">
        <v>0.89449999999999996</v>
      </c>
      <c r="H7">
        <v>0.92330000000000001</v>
      </c>
      <c r="I7" s="12">
        <v>1.02</v>
      </c>
      <c r="J7">
        <v>0.60209999999999997</v>
      </c>
    </row>
    <row r="8" spans="1:11" x14ac:dyDescent="0.25">
      <c r="A8" s="7">
        <v>18</v>
      </c>
      <c r="B8" s="3">
        <v>3</v>
      </c>
      <c r="C8" s="31" t="s">
        <v>24</v>
      </c>
      <c r="D8" s="28" t="s">
        <v>139</v>
      </c>
      <c r="E8" s="27">
        <v>24</v>
      </c>
      <c r="F8">
        <v>4.5251000000000001</v>
      </c>
      <c r="G8">
        <v>3.9922</v>
      </c>
      <c r="H8">
        <v>4.5457000000000001</v>
      </c>
      <c r="I8" s="12">
        <v>4.62</v>
      </c>
      <c r="J8">
        <v>1.956</v>
      </c>
    </row>
    <row r="9" spans="1:11" x14ac:dyDescent="0.25">
      <c r="A9" s="7">
        <v>19</v>
      </c>
      <c r="B9" s="3">
        <v>3</v>
      </c>
      <c r="C9" s="31" t="s">
        <v>24</v>
      </c>
      <c r="D9" s="28"/>
      <c r="E9" s="32"/>
      <c r="F9">
        <v>2.1823000000000001</v>
      </c>
      <c r="G9">
        <v>2.0026999999999999</v>
      </c>
      <c r="H9">
        <v>2.0026999999999999</v>
      </c>
      <c r="I9" s="12"/>
      <c r="J9">
        <v>1.2251000000000001</v>
      </c>
    </row>
    <row r="10" spans="1:11" x14ac:dyDescent="0.25">
      <c r="A10" s="7">
        <v>26</v>
      </c>
      <c r="B10" s="3">
        <v>4</v>
      </c>
      <c r="C10" s="31" t="s">
        <v>24</v>
      </c>
      <c r="D10" s="28" t="s">
        <v>140</v>
      </c>
      <c r="E10" s="12">
        <v>21</v>
      </c>
      <c r="F10" s="8">
        <v>0.31</v>
      </c>
      <c r="G10">
        <v>0.57020000000000004</v>
      </c>
      <c r="H10">
        <v>0.60170000000000001</v>
      </c>
      <c r="I10">
        <v>0.60170000000000001</v>
      </c>
      <c r="J10">
        <v>0.74270000000000003</v>
      </c>
    </row>
    <row r="11" spans="1:11" ht="15" customHeight="1" x14ac:dyDescent="0.25">
      <c r="A11" s="7">
        <v>30</v>
      </c>
      <c r="B11" s="3">
        <v>4</v>
      </c>
      <c r="C11" s="31" t="s">
        <v>24</v>
      </c>
      <c r="D11" s="28" t="s">
        <v>141</v>
      </c>
      <c r="E11" s="12">
        <v>18</v>
      </c>
      <c r="F11">
        <v>0.99970000000000003</v>
      </c>
      <c r="G11">
        <v>0.92859999999999998</v>
      </c>
      <c r="H11">
        <v>0.91779999999999995</v>
      </c>
      <c r="J11">
        <v>1.9516</v>
      </c>
    </row>
    <row r="12" spans="1:11" x14ac:dyDescent="0.25">
      <c r="A12" s="7">
        <v>36</v>
      </c>
      <c r="B12" s="3">
        <v>5</v>
      </c>
      <c r="C12" s="26" t="s">
        <v>14</v>
      </c>
      <c r="D12" s="28" t="s">
        <v>142</v>
      </c>
      <c r="E12" s="12">
        <v>35</v>
      </c>
      <c r="F12">
        <v>1.2814000000000001</v>
      </c>
      <c r="G12">
        <v>1.2637</v>
      </c>
      <c r="H12">
        <v>1.2767999999999999</v>
      </c>
      <c r="I12" s="12">
        <v>1.44</v>
      </c>
      <c r="J12">
        <v>0.45369999999999999</v>
      </c>
    </row>
    <row r="13" spans="1:11" x14ac:dyDescent="0.25">
      <c r="A13" s="7">
        <v>40</v>
      </c>
      <c r="B13" s="3">
        <v>5</v>
      </c>
      <c r="C13" s="26" t="s">
        <v>14</v>
      </c>
      <c r="D13" s="28" t="s">
        <v>143</v>
      </c>
      <c r="E13" s="12">
        <v>23</v>
      </c>
      <c r="F13" s="87">
        <v>0.85660000000000003</v>
      </c>
      <c r="G13" s="87">
        <v>0.90349999999999997</v>
      </c>
      <c r="H13" s="87">
        <v>0.73370000000000002</v>
      </c>
      <c r="I13" s="12">
        <v>0.98</v>
      </c>
      <c r="J13" s="87">
        <v>1.4204000000000001</v>
      </c>
    </row>
    <row r="14" spans="1:11" x14ac:dyDescent="0.25">
      <c r="A14" s="7">
        <v>44</v>
      </c>
      <c r="B14" s="3">
        <v>5</v>
      </c>
      <c r="C14" s="26" t="s">
        <v>14</v>
      </c>
      <c r="D14" s="28"/>
      <c r="E14" s="32"/>
      <c r="F14">
        <v>0.503</v>
      </c>
      <c r="G14">
        <v>0.51919999999999999</v>
      </c>
      <c r="H14">
        <v>0.503</v>
      </c>
      <c r="I14" s="12"/>
      <c r="J14">
        <v>0.71799999999999997</v>
      </c>
      <c r="K14">
        <f>AVERAGE(F14:H14)/J14</f>
        <v>0.70807799442896935</v>
      </c>
    </row>
    <row r="15" spans="1:11" x14ac:dyDescent="0.25">
      <c r="A15" s="7">
        <v>47</v>
      </c>
      <c r="B15" s="3">
        <v>6</v>
      </c>
      <c r="C15" s="31" t="s">
        <v>24</v>
      </c>
      <c r="D15" s="28" t="s">
        <v>144</v>
      </c>
      <c r="E15" s="12">
        <v>38</v>
      </c>
      <c r="F15" s="87">
        <v>2.6549999999999998</v>
      </c>
      <c r="G15" s="87">
        <v>2.6762000000000001</v>
      </c>
      <c r="H15">
        <v>2.7113</v>
      </c>
      <c r="I15" s="12">
        <v>2.48</v>
      </c>
      <c r="J15">
        <v>3.0068999999999999</v>
      </c>
    </row>
    <row r="17" spans="16:17" x14ac:dyDescent="0.25">
      <c r="P17" s="87"/>
      <c r="Q17" s="87"/>
    </row>
    <row r="18" spans="16:17" x14ac:dyDescent="0.25">
      <c r="P18" s="87"/>
      <c r="Q18" s="87"/>
    </row>
    <row r="19" spans="16:17" x14ac:dyDescent="0.25">
      <c r="P19" s="87"/>
      <c r="Q19" s="87"/>
    </row>
    <row r="20" spans="16:17" x14ac:dyDescent="0.25">
      <c r="P20" s="87"/>
    </row>
    <row r="21" spans="16:17" x14ac:dyDescent="0.25">
      <c r="P21" s="8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1"/>
  <sheetViews>
    <sheetView zoomScaleNormal="100" workbookViewId="0">
      <pane xSplit="1" topLeftCell="B1" activePane="topRight" state="frozen"/>
      <selection pane="topRight" activeCell="G12" sqref="G12:G14"/>
    </sheetView>
  </sheetViews>
  <sheetFormatPr baseColWidth="10" defaultColWidth="8.5703125" defaultRowHeight="15" x14ac:dyDescent="0.25"/>
  <cols>
    <col min="4" max="4" width="11" customWidth="1"/>
    <col min="1013" max="1021" width="9.140625" customWidth="1"/>
  </cols>
  <sheetData>
    <row r="1" spans="1:16" ht="1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39" t="s">
        <v>197</v>
      </c>
    </row>
    <row r="2" spans="1:16" x14ac:dyDescent="0.25">
      <c r="A2" s="7">
        <v>2</v>
      </c>
      <c r="B2" s="3">
        <v>1</v>
      </c>
      <c r="C2" s="26" t="s">
        <v>14</v>
      </c>
      <c r="D2" s="28" t="s">
        <v>145</v>
      </c>
      <c r="E2" s="27">
        <v>32</v>
      </c>
      <c r="F2">
        <v>0.63929999999999998</v>
      </c>
      <c r="G2">
        <v>0.82920000000000005</v>
      </c>
      <c r="H2">
        <v>0.85550000000000004</v>
      </c>
      <c r="I2" s="27">
        <v>1.08</v>
      </c>
      <c r="J2">
        <v>1.7323</v>
      </c>
    </row>
    <row r="3" spans="1:16" x14ac:dyDescent="0.25">
      <c r="A3" s="7">
        <v>3</v>
      </c>
      <c r="B3" s="3">
        <v>1</v>
      </c>
      <c r="C3" s="26" t="s">
        <v>14</v>
      </c>
      <c r="D3" s="29" t="s">
        <v>146</v>
      </c>
      <c r="E3" s="12">
        <v>27</v>
      </c>
      <c r="F3">
        <v>1.34</v>
      </c>
      <c r="G3">
        <v>1.3952</v>
      </c>
      <c r="H3">
        <v>1.361</v>
      </c>
      <c r="I3" s="12">
        <v>1.19</v>
      </c>
      <c r="J3">
        <v>2.3113000000000001</v>
      </c>
    </row>
    <row r="4" spans="1:16" ht="15" customHeight="1" x14ac:dyDescent="0.25">
      <c r="A4" s="7">
        <v>5</v>
      </c>
      <c r="B4" s="3">
        <v>1</v>
      </c>
      <c r="C4" s="26" t="s">
        <v>14</v>
      </c>
      <c r="D4" s="28"/>
      <c r="E4" s="32"/>
      <c r="F4">
        <v>1.0657000000000001</v>
      </c>
      <c r="G4">
        <v>1.0795999999999999</v>
      </c>
      <c r="H4">
        <v>0.82310000000000005</v>
      </c>
      <c r="I4" s="32"/>
      <c r="J4">
        <v>1.6148</v>
      </c>
    </row>
    <row r="5" spans="1:16" x14ac:dyDescent="0.25">
      <c r="A5" s="7">
        <v>8</v>
      </c>
      <c r="B5" s="3">
        <v>2</v>
      </c>
      <c r="C5" s="26" t="s">
        <v>14</v>
      </c>
      <c r="D5" s="28" t="s">
        <v>147</v>
      </c>
      <c r="E5" s="12">
        <v>18</v>
      </c>
      <c r="F5">
        <v>0.43469999999999998</v>
      </c>
      <c r="G5">
        <v>0.35809999999999997</v>
      </c>
      <c r="H5">
        <v>0.3553</v>
      </c>
      <c r="I5" s="12">
        <v>0.61</v>
      </c>
      <c r="J5">
        <v>0.2787</v>
      </c>
    </row>
    <row r="6" spans="1:16" x14ac:dyDescent="0.25">
      <c r="A6" s="7">
        <v>9</v>
      </c>
      <c r="B6" s="3">
        <v>2</v>
      </c>
      <c r="C6" s="26" t="s">
        <v>14</v>
      </c>
      <c r="D6" s="28" t="s">
        <v>148</v>
      </c>
      <c r="E6" s="12">
        <v>30</v>
      </c>
      <c r="F6">
        <v>1.2835000000000001</v>
      </c>
      <c r="G6">
        <v>1.1435999999999999</v>
      </c>
      <c r="H6" s="87">
        <v>1.2984</v>
      </c>
      <c r="I6" s="12">
        <v>1.06</v>
      </c>
      <c r="J6" s="87">
        <v>0.78869999999999996</v>
      </c>
    </row>
    <row r="7" spans="1:16" x14ac:dyDescent="0.25">
      <c r="A7" s="7">
        <v>18</v>
      </c>
      <c r="B7" s="3">
        <v>3</v>
      </c>
      <c r="C7" s="31" t="s">
        <v>24</v>
      </c>
      <c r="D7" s="28" t="s">
        <v>149</v>
      </c>
      <c r="E7" s="27">
        <v>44</v>
      </c>
      <c r="F7">
        <v>1.7729999999999999</v>
      </c>
      <c r="G7">
        <v>1.7250000000000001</v>
      </c>
      <c r="H7">
        <v>1.7653000000000001</v>
      </c>
      <c r="I7" s="12">
        <v>1.67</v>
      </c>
      <c r="J7">
        <v>1.4289000000000001</v>
      </c>
    </row>
    <row r="8" spans="1:16" ht="15" customHeight="1" x14ac:dyDescent="0.25">
      <c r="A8" s="7">
        <v>19</v>
      </c>
      <c r="B8" s="3">
        <v>3</v>
      </c>
      <c r="C8" s="31" t="s">
        <v>24</v>
      </c>
      <c r="D8" s="28" t="s">
        <v>150</v>
      </c>
      <c r="E8" s="12">
        <v>38</v>
      </c>
      <c r="F8">
        <v>1.5168999999999999</v>
      </c>
      <c r="G8">
        <v>1.5437000000000001</v>
      </c>
      <c r="H8">
        <v>1.5286999999999999</v>
      </c>
      <c r="I8" s="12">
        <v>1.44</v>
      </c>
      <c r="J8">
        <v>1.5306</v>
      </c>
    </row>
    <row r="9" spans="1:16" x14ac:dyDescent="0.25">
      <c r="A9" s="7">
        <v>26</v>
      </c>
      <c r="B9" s="3">
        <v>4</v>
      </c>
      <c r="C9" s="31" t="s">
        <v>24</v>
      </c>
      <c r="D9" s="28"/>
      <c r="E9" s="32"/>
      <c r="F9">
        <v>0.36130000000000001</v>
      </c>
      <c r="G9">
        <v>0.3034</v>
      </c>
      <c r="H9">
        <v>0.21110000000000001</v>
      </c>
      <c r="I9" s="12"/>
      <c r="J9">
        <v>0.75960000000000005</v>
      </c>
    </row>
    <row r="10" spans="1:16" ht="15" customHeight="1" x14ac:dyDescent="0.25">
      <c r="A10" s="7">
        <v>30</v>
      </c>
      <c r="B10" s="3">
        <v>4</v>
      </c>
      <c r="C10" s="31" t="s">
        <v>24</v>
      </c>
      <c r="D10" s="28" t="s">
        <v>151</v>
      </c>
      <c r="E10" s="12">
        <v>25</v>
      </c>
      <c r="F10">
        <v>1.0278</v>
      </c>
      <c r="G10">
        <v>1.1057999999999999</v>
      </c>
      <c r="H10">
        <v>1.0834999999999999</v>
      </c>
      <c r="I10" s="12">
        <v>1.1499999999999999</v>
      </c>
      <c r="J10">
        <v>2.2477</v>
      </c>
    </row>
    <row r="11" spans="1:16" x14ac:dyDescent="0.25">
      <c r="A11" s="7">
        <v>36</v>
      </c>
      <c r="B11" s="3">
        <v>5</v>
      </c>
      <c r="C11" s="26" t="s">
        <v>14</v>
      </c>
      <c r="D11" s="28" t="s">
        <v>152</v>
      </c>
      <c r="E11" s="12">
        <v>25</v>
      </c>
      <c r="F11">
        <v>0.44009999999999999</v>
      </c>
      <c r="G11">
        <v>0.39710000000000001</v>
      </c>
      <c r="H11">
        <v>0.37490000000000001</v>
      </c>
      <c r="I11" s="12">
        <v>0.42</v>
      </c>
      <c r="J11">
        <v>0.37369999999999998</v>
      </c>
    </row>
    <row r="12" spans="1:16" x14ac:dyDescent="0.25">
      <c r="A12" s="7">
        <v>40</v>
      </c>
      <c r="B12" s="3">
        <v>5</v>
      </c>
      <c r="C12" s="26" t="s">
        <v>14</v>
      </c>
      <c r="D12" s="28" t="s">
        <v>153</v>
      </c>
      <c r="E12" s="12">
        <v>42</v>
      </c>
      <c r="F12">
        <v>0.7702</v>
      </c>
      <c r="G12">
        <v>0.68310000000000004</v>
      </c>
      <c r="H12">
        <v>0.69369999999999998</v>
      </c>
      <c r="I12" s="12">
        <v>0.65</v>
      </c>
      <c r="J12">
        <v>1.2659</v>
      </c>
    </row>
    <row r="13" spans="1:16" x14ac:dyDescent="0.25">
      <c r="A13" s="7">
        <v>47</v>
      </c>
      <c r="B13" s="3">
        <v>6</v>
      </c>
      <c r="C13" s="31" t="s">
        <v>24</v>
      </c>
      <c r="D13" s="28" t="s">
        <v>154</v>
      </c>
      <c r="E13" s="12">
        <v>34</v>
      </c>
      <c r="F13">
        <v>2.1629</v>
      </c>
      <c r="G13">
        <v>2.0318999999999998</v>
      </c>
      <c r="H13">
        <v>2.2313999999999998</v>
      </c>
      <c r="I13" s="12">
        <v>2.41</v>
      </c>
      <c r="J13">
        <v>3.0794999999999999</v>
      </c>
    </row>
    <row r="14" spans="1:16" x14ac:dyDescent="0.25">
      <c r="A14" s="7">
        <v>52</v>
      </c>
      <c r="B14" s="3">
        <v>6</v>
      </c>
      <c r="C14" s="31" t="s">
        <v>24</v>
      </c>
      <c r="D14" s="28"/>
      <c r="E14" s="71"/>
      <c r="F14">
        <v>1.3919999999999999</v>
      </c>
      <c r="G14">
        <v>1.3697999999999999</v>
      </c>
      <c r="H14">
        <v>1.3931</v>
      </c>
      <c r="I14" s="78"/>
      <c r="J14">
        <v>1.6917</v>
      </c>
    </row>
    <row r="16" spans="1:16" x14ac:dyDescent="0.25">
      <c r="P16" s="87"/>
    </row>
    <row r="17" spans="7:16" x14ac:dyDescent="0.25">
      <c r="O17" s="87"/>
      <c r="P17" s="87"/>
    </row>
    <row r="18" spans="7:16" x14ac:dyDescent="0.25">
      <c r="G18" s="87"/>
      <c r="P18" s="87"/>
    </row>
    <row r="19" spans="7:16" x14ac:dyDescent="0.25">
      <c r="P19" s="87"/>
    </row>
    <row r="20" spans="7:16" x14ac:dyDescent="0.25">
      <c r="P20" s="87"/>
    </row>
    <row r="25" spans="7:16" x14ac:dyDescent="0.25">
      <c r="P25" s="87"/>
    </row>
    <row r="26" spans="7:16" x14ac:dyDescent="0.25">
      <c r="P26" s="87"/>
    </row>
    <row r="27" spans="7:16" x14ac:dyDescent="0.25">
      <c r="P27" s="87"/>
    </row>
    <row r="30" spans="7:16" x14ac:dyDescent="0.25">
      <c r="P30" s="87"/>
    </row>
    <row r="32" spans="7:16" x14ac:dyDescent="0.25">
      <c r="G32" s="87"/>
    </row>
    <row r="35" spans="16:16" x14ac:dyDescent="0.25">
      <c r="P35" s="87"/>
    </row>
    <row r="45" spans="16:16" x14ac:dyDescent="0.25">
      <c r="P45" s="87"/>
    </row>
    <row r="46" spans="16:16" x14ac:dyDescent="0.25">
      <c r="P46" s="87"/>
    </row>
    <row r="47" spans="16:16" x14ac:dyDescent="0.25">
      <c r="P47" s="87"/>
    </row>
    <row r="50" spans="16:16" x14ac:dyDescent="0.25">
      <c r="P50" s="87"/>
    </row>
    <row r="51" spans="16:16" x14ac:dyDescent="0.25">
      <c r="P51" s="87"/>
    </row>
    <row r="52" spans="16:16" x14ac:dyDescent="0.25">
      <c r="P52" s="87"/>
    </row>
    <row r="56" spans="16:16" x14ac:dyDescent="0.25">
      <c r="P56" s="87"/>
    </row>
    <row r="57" spans="16:16" x14ac:dyDescent="0.25">
      <c r="P57" s="87"/>
    </row>
    <row r="61" spans="16:16" x14ac:dyDescent="0.25">
      <c r="P61" s="8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7"/>
  <sheetViews>
    <sheetView zoomScale="130" zoomScaleNormal="130" workbookViewId="0">
      <pane xSplit="1" topLeftCell="F1" activePane="topRight" state="frozen"/>
      <selection pane="topRight" activeCell="K10" sqref="K10"/>
    </sheetView>
  </sheetViews>
  <sheetFormatPr baseColWidth="10" defaultColWidth="9.140625" defaultRowHeight="15" x14ac:dyDescent="0.25"/>
  <cols>
    <col min="4" max="4" width="10" customWidth="1"/>
    <col min="11" max="11" width="11.85546875" bestFit="1" customWidth="1"/>
  </cols>
  <sheetData>
    <row r="1" spans="1:17" ht="13.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39" t="s">
        <v>197</v>
      </c>
    </row>
    <row r="2" spans="1:17" x14ac:dyDescent="0.25">
      <c r="A2" s="7">
        <v>2</v>
      </c>
      <c r="B2" s="3">
        <v>1</v>
      </c>
      <c r="C2" s="26" t="s">
        <v>14</v>
      </c>
      <c r="D2" s="28" t="s">
        <v>155</v>
      </c>
      <c r="E2" s="27">
        <v>31</v>
      </c>
      <c r="F2">
        <v>1.3211999999999999</v>
      </c>
      <c r="G2">
        <v>1.2064999999999999</v>
      </c>
      <c r="H2">
        <v>1.3263</v>
      </c>
      <c r="I2" s="27">
        <v>1.23</v>
      </c>
      <c r="J2">
        <v>1.4559</v>
      </c>
    </row>
    <row r="3" spans="1:17" x14ac:dyDescent="0.25">
      <c r="A3" s="7">
        <v>3</v>
      </c>
      <c r="B3" s="3">
        <v>1</v>
      </c>
      <c r="C3" s="26" t="s">
        <v>14</v>
      </c>
      <c r="D3" s="29" t="s">
        <v>156</v>
      </c>
      <c r="E3" s="12">
        <v>52</v>
      </c>
      <c r="F3">
        <v>1.8003</v>
      </c>
      <c r="G3">
        <v>1.7942</v>
      </c>
      <c r="H3">
        <v>1.8181</v>
      </c>
      <c r="I3" s="12">
        <v>1.71</v>
      </c>
      <c r="J3">
        <v>2.7612000000000001</v>
      </c>
    </row>
    <row r="4" spans="1:17" x14ac:dyDescent="0.25">
      <c r="A4" s="7">
        <v>8</v>
      </c>
      <c r="B4" s="3">
        <v>2</v>
      </c>
      <c r="C4" s="26" t="s">
        <v>14</v>
      </c>
      <c r="D4" s="28" t="s">
        <v>157</v>
      </c>
      <c r="E4" s="12">
        <v>74</v>
      </c>
      <c r="F4">
        <v>0.9496</v>
      </c>
      <c r="G4">
        <v>0.9496</v>
      </c>
      <c r="H4">
        <v>1.0347</v>
      </c>
      <c r="I4" s="12">
        <v>1.2</v>
      </c>
      <c r="J4">
        <v>0.60129999999999995</v>
      </c>
    </row>
    <row r="5" spans="1:17" ht="23.25" x14ac:dyDescent="0.25">
      <c r="A5" s="7">
        <v>10</v>
      </c>
      <c r="B5" s="3">
        <v>2</v>
      </c>
      <c r="C5" s="26" t="s">
        <v>14</v>
      </c>
      <c r="D5" s="28" t="s">
        <v>158</v>
      </c>
      <c r="E5" s="12">
        <v>36</v>
      </c>
      <c r="F5">
        <v>1.1156999999999999</v>
      </c>
      <c r="G5">
        <v>1.1021000000000001</v>
      </c>
      <c r="H5">
        <v>1.0919000000000001</v>
      </c>
      <c r="I5" s="12">
        <v>1.3</v>
      </c>
      <c r="J5">
        <v>0.86</v>
      </c>
    </row>
    <row r="6" spans="1:17" ht="23.25" x14ac:dyDescent="0.25">
      <c r="A6" s="7">
        <v>18</v>
      </c>
      <c r="B6" s="3">
        <v>3</v>
      </c>
      <c r="C6" s="31" t="s">
        <v>24</v>
      </c>
      <c r="D6" s="28" t="s">
        <v>159</v>
      </c>
      <c r="E6" s="27">
        <v>55</v>
      </c>
      <c r="F6">
        <v>1.5486</v>
      </c>
      <c r="G6">
        <v>1.5416000000000001</v>
      </c>
      <c r="H6">
        <v>1.5659000000000001</v>
      </c>
      <c r="I6" s="12">
        <v>1.75</v>
      </c>
      <c r="J6">
        <v>1.1432</v>
      </c>
    </row>
    <row r="7" spans="1:17" ht="23.25" x14ac:dyDescent="0.25">
      <c r="A7" s="7">
        <v>19</v>
      </c>
      <c r="B7" s="3">
        <v>3</v>
      </c>
      <c r="C7" s="31" t="s">
        <v>24</v>
      </c>
      <c r="D7" s="28" t="s">
        <v>160</v>
      </c>
      <c r="E7" s="12">
        <v>55</v>
      </c>
      <c r="F7">
        <v>2.2271000000000001</v>
      </c>
      <c r="G7">
        <v>2.2726000000000002</v>
      </c>
      <c r="H7">
        <v>2.2833999999999999</v>
      </c>
      <c r="I7" s="12">
        <v>2.94</v>
      </c>
      <c r="J7">
        <v>1.6779999999999999</v>
      </c>
    </row>
    <row r="8" spans="1:17" x14ac:dyDescent="0.25">
      <c r="A8" s="7">
        <v>26</v>
      </c>
      <c r="B8" s="3">
        <v>4</v>
      </c>
      <c r="C8" s="31" t="s">
        <v>24</v>
      </c>
      <c r="D8" s="28"/>
      <c r="E8" s="12"/>
      <c r="F8">
        <v>0.63080000000000003</v>
      </c>
      <c r="G8">
        <v>0.65200000000000002</v>
      </c>
      <c r="H8">
        <v>0.61270000000000002</v>
      </c>
      <c r="I8" s="12"/>
      <c r="J8">
        <v>0.6885</v>
      </c>
    </row>
    <row r="9" spans="1:17" ht="23.25" x14ac:dyDescent="0.25">
      <c r="A9" s="7">
        <v>30</v>
      </c>
      <c r="B9" s="3">
        <v>4</v>
      </c>
      <c r="C9" s="31" t="s">
        <v>24</v>
      </c>
      <c r="D9" s="28" t="s">
        <v>161</v>
      </c>
      <c r="E9" s="12">
        <v>28</v>
      </c>
      <c r="F9">
        <v>0.80889999999999995</v>
      </c>
      <c r="G9">
        <v>0.82379999999999998</v>
      </c>
      <c r="H9">
        <v>0.82010000000000005</v>
      </c>
      <c r="I9" s="12">
        <v>1.07</v>
      </c>
      <c r="J9">
        <v>2.2120000000000002</v>
      </c>
    </row>
    <row r="10" spans="1:17" ht="23.25" x14ac:dyDescent="0.25">
      <c r="A10" s="7">
        <v>44</v>
      </c>
      <c r="B10" s="3">
        <v>5</v>
      </c>
      <c r="C10" s="26" t="s">
        <v>14</v>
      </c>
      <c r="D10" s="28" t="s">
        <v>162</v>
      </c>
      <c r="E10" s="12">
        <v>6</v>
      </c>
      <c r="F10">
        <v>0.2969</v>
      </c>
      <c r="G10">
        <v>0.28210000000000002</v>
      </c>
      <c r="H10">
        <v>0.28210000000000002</v>
      </c>
      <c r="I10" s="12"/>
      <c r="J10">
        <v>0.44</v>
      </c>
    </row>
    <row r="11" spans="1:17" ht="23.25" x14ac:dyDescent="0.25">
      <c r="A11" s="7">
        <v>47</v>
      </c>
      <c r="B11" s="3">
        <v>6</v>
      </c>
      <c r="C11" s="31" t="s">
        <v>24</v>
      </c>
      <c r="D11" s="28" t="s">
        <v>163</v>
      </c>
      <c r="E11" s="12">
        <v>34</v>
      </c>
      <c r="F11">
        <v>3.0354000000000001</v>
      </c>
      <c r="G11">
        <v>3.1938</v>
      </c>
      <c r="H11">
        <v>3.1938</v>
      </c>
      <c r="I11" s="12">
        <v>2.9</v>
      </c>
      <c r="J11" s="41">
        <v>4.5</v>
      </c>
    </row>
    <row r="12" spans="1:17" ht="23.25" x14ac:dyDescent="0.25">
      <c r="A12" s="7">
        <v>52</v>
      </c>
      <c r="B12" s="3">
        <v>6</v>
      </c>
      <c r="C12" s="31" t="s">
        <v>24</v>
      </c>
      <c r="D12" s="28" t="s">
        <v>164</v>
      </c>
      <c r="E12" s="43">
        <v>25</v>
      </c>
      <c r="F12">
        <v>1.9429000000000001</v>
      </c>
      <c r="G12">
        <v>1.9429000000000001</v>
      </c>
      <c r="H12">
        <v>2.0512000000000001</v>
      </c>
      <c r="I12" s="43">
        <v>2.3199999999999998</v>
      </c>
      <c r="J12">
        <v>0.98129999999999995</v>
      </c>
    </row>
    <row r="14" spans="1:17" x14ac:dyDescent="0.25">
      <c r="O14" s="87"/>
      <c r="Q14" s="87"/>
    </row>
    <row r="17" spans="15:15" x14ac:dyDescent="0.25">
      <c r="O17" s="8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0"/>
  <sheetViews>
    <sheetView zoomScale="130" zoomScaleNormal="130" workbookViewId="0">
      <pane xSplit="1" topLeftCell="F1" activePane="topRight" state="frozen"/>
      <selection pane="topRight" activeCell="L6" sqref="L6"/>
    </sheetView>
  </sheetViews>
  <sheetFormatPr baseColWidth="10" defaultColWidth="9.140625" defaultRowHeight="15" x14ac:dyDescent="0.25"/>
  <cols>
    <col min="7" max="7" width="9.28515625" customWidth="1"/>
  </cols>
  <sheetData>
    <row r="1" spans="1:12" ht="13.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39" t="s">
        <v>197</v>
      </c>
    </row>
    <row r="2" spans="1:12" x14ac:dyDescent="0.25">
      <c r="A2" s="7">
        <v>2</v>
      </c>
      <c r="B2" s="3">
        <v>1</v>
      </c>
      <c r="C2" s="26" t="s">
        <v>14</v>
      </c>
      <c r="D2" s="28" t="s">
        <v>165</v>
      </c>
      <c r="E2" s="27">
        <v>45</v>
      </c>
      <c r="F2">
        <v>1.5544</v>
      </c>
      <c r="G2">
        <v>1.5051000000000001</v>
      </c>
      <c r="H2">
        <v>1.4491000000000001</v>
      </c>
      <c r="I2" s="27">
        <v>1.391</v>
      </c>
      <c r="J2">
        <v>1.6353</v>
      </c>
    </row>
    <row r="3" spans="1:12" x14ac:dyDescent="0.25">
      <c r="A3" s="7">
        <v>3</v>
      </c>
      <c r="B3" s="3">
        <v>1</v>
      </c>
      <c r="C3" s="26" t="s">
        <v>14</v>
      </c>
      <c r="D3" s="29" t="s">
        <v>166</v>
      </c>
      <c r="E3" s="12">
        <v>60</v>
      </c>
      <c r="F3">
        <v>1.0971</v>
      </c>
      <c r="G3">
        <v>1.2732000000000001</v>
      </c>
      <c r="H3">
        <v>1.3433999999999999</v>
      </c>
      <c r="I3" s="12">
        <v>1.228</v>
      </c>
      <c r="J3">
        <v>1.5334000000000001</v>
      </c>
    </row>
    <row r="4" spans="1:12" x14ac:dyDescent="0.25">
      <c r="A4" s="7">
        <v>5</v>
      </c>
      <c r="B4" s="3">
        <v>1</v>
      </c>
      <c r="C4" s="26" t="s">
        <v>14</v>
      </c>
      <c r="D4" s="28" t="s">
        <v>167</v>
      </c>
      <c r="E4" s="12">
        <v>40</v>
      </c>
      <c r="F4">
        <v>1.2607999999999999</v>
      </c>
      <c r="G4">
        <v>1.288</v>
      </c>
      <c r="H4">
        <v>1.3502000000000001</v>
      </c>
      <c r="I4" s="12">
        <v>1.5680000000000001</v>
      </c>
      <c r="J4">
        <v>1.6148</v>
      </c>
    </row>
    <row r="5" spans="1:12" x14ac:dyDescent="0.25">
      <c r="A5" s="7">
        <v>9</v>
      </c>
      <c r="B5" s="3">
        <v>2</v>
      </c>
      <c r="C5" s="26" t="s">
        <v>14</v>
      </c>
      <c r="D5" s="28" t="s">
        <v>168</v>
      </c>
      <c r="E5" s="12">
        <v>34</v>
      </c>
      <c r="F5">
        <v>0.79420000000000002</v>
      </c>
      <c r="G5">
        <v>0.82740000000000002</v>
      </c>
      <c r="H5">
        <v>0.82740000000000002</v>
      </c>
      <c r="I5" s="12">
        <v>0.76600000000000001</v>
      </c>
      <c r="J5">
        <v>0.51539999999999997</v>
      </c>
    </row>
    <row r="6" spans="1:12" ht="23.25" x14ac:dyDescent="0.25">
      <c r="A6" s="7">
        <v>10</v>
      </c>
      <c r="B6" s="3">
        <v>2</v>
      </c>
      <c r="C6" s="26" t="s">
        <v>14</v>
      </c>
      <c r="D6" s="28" t="s">
        <v>169</v>
      </c>
      <c r="E6" s="12">
        <v>41</v>
      </c>
      <c r="F6">
        <v>0.5</v>
      </c>
      <c r="G6">
        <v>0.44579999999999997</v>
      </c>
      <c r="H6">
        <v>0.56999999999999995</v>
      </c>
      <c r="I6" s="12">
        <v>0.46</v>
      </c>
      <c r="J6">
        <v>0.56000000000000005</v>
      </c>
    </row>
    <row r="7" spans="1:12" ht="23.25" x14ac:dyDescent="0.25">
      <c r="A7" s="7">
        <v>18</v>
      </c>
      <c r="B7" s="3">
        <v>3</v>
      </c>
      <c r="C7" s="31" t="s">
        <v>24</v>
      </c>
      <c r="D7" s="28" t="s">
        <v>170</v>
      </c>
      <c r="E7" s="72">
        <v>37</v>
      </c>
      <c r="F7">
        <v>2.5548999999999999</v>
      </c>
      <c r="G7" s="87">
        <v>2.5015000000000001</v>
      </c>
      <c r="H7">
        <v>2.5015000000000001</v>
      </c>
      <c r="I7" s="12">
        <v>1.9419999999999999</v>
      </c>
      <c r="J7" s="88">
        <v>1.9432</v>
      </c>
    </row>
    <row r="8" spans="1:12" ht="23.25" x14ac:dyDescent="0.25">
      <c r="A8" s="7">
        <v>19</v>
      </c>
      <c r="B8" s="3">
        <v>3</v>
      </c>
      <c r="C8" s="31" t="s">
        <v>24</v>
      </c>
      <c r="D8" s="28" t="s">
        <v>171</v>
      </c>
      <c r="E8" s="12">
        <v>70</v>
      </c>
      <c r="F8">
        <v>1.5649999999999999</v>
      </c>
      <c r="G8" s="87">
        <v>1.5649999999999999</v>
      </c>
      <c r="H8">
        <v>1.6432</v>
      </c>
      <c r="I8" s="12">
        <v>1.4830000000000001</v>
      </c>
      <c r="J8">
        <v>1.4418</v>
      </c>
      <c r="L8" s="77"/>
    </row>
    <row r="9" spans="1:12" x14ac:dyDescent="0.25">
      <c r="A9" s="7">
        <v>26</v>
      </c>
      <c r="B9" s="3">
        <v>4</v>
      </c>
      <c r="C9" s="31" t="s">
        <v>24</v>
      </c>
      <c r="D9" s="28"/>
      <c r="E9" s="69"/>
      <c r="F9">
        <v>0.56779999999999997</v>
      </c>
      <c r="G9" s="87">
        <v>0.52390000000000003</v>
      </c>
      <c r="H9">
        <v>0.52390000000000003</v>
      </c>
      <c r="I9" s="69"/>
      <c r="J9">
        <v>0.73699999999999999</v>
      </c>
    </row>
    <row r="10" spans="1:12" ht="14.25" customHeight="1" x14ac:dyDescent="0.25">
      <c r="A10" s="7">
        <v>30</v>
      </c>
      <c r="B10" s="3">
        <v>4</v>
      </c>
      <c r="C10" s="31" t="s">
        <v>24</v>
      </c>
      <c r="D10" s="28" t="s">
        <v>172</v>
      </c>
      <c r="E10" s="12">
        <v>25</v>
      </c>
      <c r="F10">
        <v>1.0264</v>
      </c>
      <c r="G10">
        <v>1.1956</v>
      </c>
      <c r="H10" s="87">
        <v>1.1411</v>
      </c>
      <c r="I10" s="12">
        <v>1.07</v>
      </c>
      <c r="J10">
        <v>1.7496</v>
      </c>
    </row>
    <row r="11" spans="1:12" ht="23.25" x14ac:dyDescent="0.25">
      <c r="A11" s="7">
        <v>36</v>
      </c>
      <c r="B11" s="3">
        <v>5</v>
      </c>
      <c r="C11" s="26" t="s">
        <v>14</v>
      </c>
      <c r="D11" s="28" t="s">
        <v>173</v>
      </c>
      <c r="E11" s="12">
        <v>11</v>
      </c>
      <c r="F11">
        <v>0.66920000000000002</v>
      </c>
      <c r="G11">
        <v>0.68179999999999996</v>
      </c>
      <c r="H11">
        <v>0.68179999999999996</v>
      </c>
      <c r="I11" s="12">
        <v>0.45800000000000002</v>
      </c>
      <c r="J11">
        <v>0.502</v>
      </c>
    </row>
    <row r="12" spans="1:12" ht="23.25" x14ac:dyDescent="0.25">
      <c r="A12" s="7">
        <v>40</v>
      </c>
      <c r="B12" s="3">
        <v>5</v>
      </c>
      <c r="C12" s="26" t="s">
        <v>14</v>
      </c>
      <c r="D12" s="28" t="s">
        <v>174</v>
      </c>
      <c r="E12" s="12">
        <v>30</v>
      </c>
      <c r="F12">
        <v>0.89849999999999997</v>
      </c>
      <c r="G12">
        <v>0.92490000000000006</v>
      </c>
      <c r="H12">
        <v>0.87719999999999998</v>
      </c>
      <c r="I12" s="12">
        <v>0.89600000000000002</v>
      </c>
      <c r="J12">
        <v>1.5481</v>
      </c>
    </row>
    <row r="13" spans="1:12" ht="23.25" x14ac:dyDescent="0.25">
      <c r="A13" s="7">
        <v>44</v>
      </c>
      <c r="B13" s="3">
        <v>5</v>
      </c>
      <c r="C13" s="26" t="s">
        <v>14</v>
      </c>
      <c r="D13" s="28" t="s">
        <v>175</v>
      </c>
      <c r="E13" s="12">
        <v>46</v>
      </c>
      <c r="F13">
        <v>0.42870000000000003</v>
      </c>
      <c r="G13">
        <v>0.50609999999999999</v>
      </c>
      <c r="H13">
        <v>0.57679999999999998</v>
      </c>
      <c r="I13" s="12">
        <v>0.58399999999999996</v>
      </c>
      <c r="J13">
        <v>0.80100000000000005</v>
      </c>
    </row>
    <row r="14" spans="1:12" ht="23.25" x14ac:dyDescent="0.25">
      <c r="A14" s="7">
        <v>47</v>
      </c>
      <c r="B14" s="3">
        <v>6</v>
      </c>
      <c r="C14" s="31" t="s">
        <v>24</v>
      </c>
      <c r="D14" s="28" t="s">
        <v>176</v>
      </c>
      <c r="E14" s="12">
        <v>26</v>
      </c>
      <c r="F14">
        <v>6.3083</v>
      </c>
      <c r="G14">
        <v>6.3083</v>
      </c>
      <c r="H14">
        <v>6.3083</v>
      </c>
      <c r="I14" s="12">
        <v>1.9359999999999999</v>
      </c>
      <c r="J14" s="89">
        <v>9</v>
      </c>
    </row>
    <row r="15" spans="1:12" ht="23.25" x14ac:dyDescent="0.25">
      <c r="A15" s="7">
        <v>52</v>
      </c>
      <c r="B15" s="3">
        <v>6</v>
      </c>
      <c r="C15" s="31" t="s">
        <v>24</v>
      </c>
      <c r="D15" s="28" t="s">
        <v>177</v>
      </c>
      <c r="E15" s="43">
        <v>34</v>
      </c>
      <c r="F15">
        <v>0.84960000000000002</v>
      </c>
      <c r="G15">
        <v>0.86709999999999998</v>
      </c>
      <c r="H15">
        <v>0.86709999999999998</v>
      </c>
      <c r="I15" s="43">
        <v>0.91300000000000003</v>
      </c>
      <c r="J15">
        <v>0.93540000000000001</v>
      </c>
    </row>
    <row r="18" spans="16:17" x14ac:dyDescent="0.25">
      <c r="Q18" s="87"/>
    </row>
    <row r="19" spans="16:17" x14ac:dyDescent="0.25">
      <c r="P19" s="87"/>
    </row>
    <row r="20" spans="16:17" x14ac:dyDescent="0.25">
      <c r="P20" s="87"/>
      <c r="Q20" s="87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&amp;C&amp;"Arial,Regular"&amp;10&amp;Kffffff&amp;A</oddHeader>
    <oddFooter>&amp;C&amp;"Arial,Regular"&amp;10&amp;KffffffPage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8"/>
  <sheetViews>
    <sheetView zoomScaleNormal="100" workbookViewId="0">
      <pane xSplit="1" topLeftCell="B1" activePane="topRight" state="frozen"/>
      <selection pane="topRight" activeCell="K2" sqref="K2"/>
    </sheetView>
  </sheetViews>
  <sheetFormatPr baseColWidth="10" defaultColWidth="9.140625" defaultRowHeight="15" x14ac:dyDescent="0.25"/>
  <cols>
    <col min="4" max="4" width="10" customWidth="1"/>
  </cols>
  <sheetData>
    <row r="1" spans="1:18" ht="13.5" customHeight="1" x14ac:dyDescent="0.25">
      <c r="A1" s="1" t="s">
        <v>3</v>
      </c>
      <c r="B1" s="21" t="s">
        <v>1</v>
      </c>
      <c r="C1" s="20" t="s">
        <v>2</v>
      </c>
      <c r="D1" s="22" t="s">
        <v>5</v>
      </c>
      <c r="E1" s="2" t="s">
        <v>7</v>
      </c>
      <c r="F1" s="45" t="s">
        <v>9</v>
      </c>
      <c r="G1" s="2" t="s">
        <v>10</v>
      </c>
      <c r="H1" s="45" t="s">
        <v>11</v>
      </c>
      <c r="I1" s="2" t="s">
        <v>195</v>
      </c>
      <c r="J1" s="2" t="s">
        <v>133</v>
      </c>
      <c r="K1" s="39" t="s">
        <v>197</v>
      </c>
    </row>
    <row r="2" spans="1:18" x14ac:dyDescent="0.25">
      <c r="A2" s="7">
        <v>2</v>
      </c>
      <c r="B2" s="3">
        <v>1</v>
      </c>
      <c r="C2" s="26" t="s">
        <v>14</v>
      </c>
      <c r="D2" s="28" t="s">
        <v>178</v>
      </c>
      <c r="E2" s="27">
        <v>27</v>
      </c>
      <c r="F2">
        <v>0.65529999999999999</v>
      </c>
      <c r="G2">
        <v>0.65529999999999999</v>
      </c>
      <c r="H2">
        <v>0.65529999999999999</v>
      </c>
      <c r="I2" s="27">
        <v>0.82</v>
      </c>
      <c r="J2" s="27" t="s">
        <v>37</v>
      </c>
      <c r="K2">
        <v>1.0392999999999999</v>
      </c>
    </row>
    <row r="3" spans="1:18" ht="14.25" customHeight="1" x14ac:dyDescent="0.25">
      <c r="A3" s="7">
        <v>3</v>
      </c>
      <c r="B3" s="3">
        <v>1</v>
      </c>
      <c r="C3" s="26" t="s">
        <v>14</v>
      </c>
      <c r="D3" s="29" t="s">
        <v>179</v>
      </c>
      <c r="E3" s="12">
        <v>92</v>
      </c>
      <c r="F3">
        <v>1.2912999999999999</v>
      </c>
      <c r="G3">
        <v>1.2831999999999999</v>
      </c>
      <c r="H3">
        <v>1.2129000000000001</v>
      </c>
      <c r="I3" s="12">
        <v>1.45</v>
      </c>
      <c r="J3" s="27" t="s">
        <v>37</v>
      </c>
      <c r="K3">
        <v>1.6272</v>
      </c>
    </row>
    <row r="4" spans="1:18" x14ac:dyDescent="0.25">
      <c r="A4" s="7">
        <v>5</v>
      </c>
      <c r="B4" s="3">
        <v>1</v>
      </c>
      <c r="C4" s="26" t="s">
        <v>14</v>
      </c>
      <c r="D4" s="28" t="s">
        <v>180</v>
      </c>
      <c r="E4" s="12">
        <v>39</v>
      </c>
      <c r="F4">
        <v>1.6916</v>
      </c>
      <c r="G4">
        <v>1.6916</v>
      </c>
      <c r="H4">
        <v>1.5684</v>
      </c>
      <c r="I4" s="12">
        <f>1.51+0.89</f>
        <v>2.4</v>
      </c>
      <c r="J4" s="12" t="s">
        <v>37</v>
      </c>
      <c r="K4" s="88">
        <v>2</v>
      </c>
    </row>
    <row r="5" spans="1:18" x14ac:dyDescent="0.25">
      <c r="A5" s="7">
        <v>8</v>
      </c>
      <c r="B5" s="3">
        <v>2</v>
      </c>
      <c r="C5" s="26" t="s">
        <v>14</v>
      </c>
      <c r="D5" s="28" t="s">
        <v>181</v>
      </c>
      <c r="E5" s="12">
        <v>28</v>
      </c>
      <c r="F5">
        <v>1.0011000000000001</v>
      </c>
      <c r="G5">
        <v>1.0011000000000001</v>
      </c>
      <c r="H5">
        <v>1.0011000000000001</v>
      </c>
      <c r="I5" s="12">
        <v>1.08</v>
      </c>
      <c r="J5" s="12" t="s">
        <v>37</v>
      </c>
      <c r="K5">
        <v>0.65329999999999999</v>
      </c>
    </row>
    <row r="6" spans="1:18" ht="14.25" customHeight="1" x14ac:dyDescent="0.25">
      <c r="A6" s="7">
        <v>10</v>
      </c>
      <c r="B6" s="3">
        <v>2</v>
      </c>
      <c r="C6" s="26" t="s">
        <v>14</v>
      </c>
      <c r="D6" s="28" t="s">
        <v>183</v>
      </c>
      <c r="E6" s="12">
        <v>30</v>
      </c>
      <c r="F6">
        <v>0.87470000000000003</v>
      </c>
      <c r="G6">
        <v>0.72140000000000004</v>
      </c>
      <c r="H6">
        <v>0.84540000000000004</v>
      </c>
      <c r="I6" s="12">
        <v>0.77</v>
      </c>
      <c r="J6" s="12" t="s">
        <v>37</v>
      </c>
      <c r="K6">
        <v>1.2</v>
      </c>
    </row>
    <row r="7" spans="1:18" x14ac:dyDescent="0.25">
      <c r="A7" s="7">
        <v>18</v>
      </c>
      <c r="B7" s="3">
        <v>3</v>
      </c>
      <c r="C7" s="31" t="s">
        <v>24</v>
      </c>
      <c r="D7" s="28"/>
      <c r="E7" s="70"/>
      <c r="F7">
        <v>1.0706</v>
      </c>
      <c r="G7">
        <v>1.0463</v>
      </c>
      <c r="H7">
        <v>1.0371999999999999</v>
      </c>
      <c r="I7" s="12"/>
      <c r="J7" s="12"/>
      <c r="K7">
        <v>1.1741999999999999</v>
      </c>
    </row>
    <row r="8" spans="1:18" ht="14.25" customHeight="1" x14ac:dyDescent="0.25">
      <c r="A8" s="7">
        <v>19</v>
      </c>
      <c r="B8" s="3">
        <v>3</v>
      </c>
      <c r="C8" s="31" t="s">
        <v>24</v>
      </c>
      <c r="D8" s="28" t="s">
        <v>185</v>
      </c>
      <c r="E8" s="12">
        <v>55</v>
      </c>
      <c r="F8">
        <v>3.1103000000000001</v>
      </c>
      <c r="G8">
        <v>3.0861999999999998</v>
      </c>
      <c r="H8">
        <v>3.1221000000000001</v>
      </c>
      <c r="I8" s="12">
        <v>2.95</v>
      </c>
      <c r="J8" s="12" t="s">
        <v>37</v>
      </c>
      <c r="K8">
        <v>1.827</v>
      </c>
    </row>
    <row r="9" spans="1:18" ht="14.25" customHeight="1" x14ac:dyDescent="0.25">
      <c r="A9" s="7">
        <v>30</v>
      </c>
      <c r="B9" s="3">
        <v>4</v>
      </c>
      <c r="C9" s="31" t="s">
        <v>24</v>
      </c>
      <c r="D9" s="28" t="s">
        <v>187</v>
      </c>
      <c r="E9" s="12">
        <v>57</v>
      </c>
      <c r="F9">
        <v>1.119</v>
      </c>
      <c r="G9">
        <v>1.119</v>
      </c>
      <c r="H9">
        <v>1.1307</v>
      </c>
      <c r="I9" s="12"/>
      <c r="J9" s="27" t="s">
        <v>37</v>
      </c>
      <c r="K9">
        <v>1.496</v>
      </c>
    </row>
    <row r="10" spans="1:18" x14ac:dyDescent="0.25">
      <c r="A10" s="7">
        <v>40</v>
      </c>
      <c r="B10" s="3">
        <v>5</v>
      </c>
      <c r="C10" s="26" t="s">
        <v>14</v>
      </c>
      <c r="D10" s="28" t="s">
        <v>189</v>
      </c>
      <c r="E10" s="12">
        <v>29</v>
      </c>
      <c r="F10">
        <v>1</v>
      </c>
      <c r="G10">
        <v>1</v>
      </c>
      <c r="H10">
        <v>1</v>
      </c>
      <c r="I10" s="12">
        <v>1.25</v>
      </c>
      <c r="J10" s="12" t="s">
        <v>37</v>
      </c>
      <c r="K10">
        <v>1.7537</v>
      </c>
    </row>
    <row r="11" spans="1:18" x14ac:dyDescent="0.25">
      <c r="A11" s="7">
        <v>44</v>
      </c>
      <c r="B11" s="3">
        <v>5</v>
      </c>
      <c r="C11" s="26" t="s">
        <v>14</v>
      </c>
      <c r="D11" s="28" t="s">
        <v>190</v>
      </c>
      <c r="E11" s="12">
        <v>36</v>
      </c>
      <c r="F11">
        <v>0.40970000000000001</v>
      </c>
      <c r="G11">
        <v>0.4123</v>
      </c>
      <c r="H11">
        <v>0.4047</v>
      </c>
      <c r="I11" s="12">
        <v>0.39</v>
      </c>
      <c r="J11" s="12" t="s">
        <v>37</v>
      </c>
      <c r="K11">
        <v>0.61180000000000001</v>
      </c>
    </row>
    <row r="12" spans="1:18" x14ac:dyDescent="0.25">
      <c r="A12" s="7">
        <v>47</v>
      </c>
      <c r="B12" s="3">
        <v>6</v>
      </c>
      <c r="C12" s="31" t="s">
        <v>24</v>
      </c>
      <c r="D12" s="28"/>
      <c r="E12" s="32"/>
      <c r="F12">
        <v>3.9748999999999999</v>
      </c>
      <c r="G12">
        <v>3.9748999999999999</v>
      </c>
      <c r="H12">
        <v>3.9748999999999999</v>
      </c>
      <c r="I12" s="12"/>
      <c r="J12" s="12"/>
      <c r="K12" s="89">
        <v>6</v>
      </c>
    </row>
    <row r="13" spans="1:18" x14ac:dyDescent="0.25">
      <c r="A13" s="7">
        <v>52</v>
      </c>
      <c r="B13" s="3">
        <v>6</v>
      </c>
      <c r="C13" s="31" t="s">
        <v>24</v>
      </c>
      <c r="D13" s="28" t="s">
        <v>192</v>
      </c>
      <c r="E13" s="43">
        <v>54</v>
      </c>
      <c r="F13">
        <v>1.5965</v>
      </c>
      <c r="G13">
        <v>1.5965</v>
      </c>
      <c r="H13">
        <v>1.7153</v>
      </c>
      <c r="I13" s="43">
        <v>1.36</v>
      </c>
      <c r="J13" s="12" t="s">
        <v>37</v>
      </c>
      <c r="K13">
        <v>2.4125999999999999</v>
      </c>
    </row>
    <row r="15" spans="1:18" x14ac:dyDescent="0.25">
      <c r="Q15" s="87"/>
      <c r="R15" s="87"/>
    </row>
    <row r="16" spans="1:18" x14ac:dyDescent="0.25">
      <c r="Q16" s="87"/>
      <c r="R16" s="87"/>
    </row>
    <row r="17" spans="17:18" x14ac:dyDescent="0.25">
      <c r="Q17" s="87"/>
      <c r="R17" s="87"/>
    </row>
    <row r="18" spans="17:18" x14ac:dyDescent="0.25">
      <c r="R18" s="8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2"/>
  <sheetViews>
    <sheetView topLeftCell="A7" zoomScale="81" zoomScaleNormal="81" workbookViewId="0">
      <selection activeCell="H34" sqref="H34"/>
    </sheetView>
  </sheetViews>
  <sheetFormatPr baseColWidth="10" defaultColWidth="9.140625" defaultRowHeight="15" x14ac:dyDescent="0.25"/>
  <sheetData>
    <row r="1" spans="1:8" x14ac:dyDescent="0.25">
      <c r="A1" s="20" t="s">
        <v>0</v>
      </c>
      <c r="B1" s="21" t="s">
        <v>1</v>
      </c>
      <c r="C1" s="20" t="s">
        <v>2</v>
      </c>
      <c r="D1" s="21" t="s">
        <v>34</v>
      </c>
      <c r="E1" s="20" t="s">
        <v>4</v>
      </c>
      <c r="F1" s="22" t="s">
        <v>5</v>
      </c>
      <c r="G1" s="73" t="s">
        <v>193</v>
      </c>
      <c r="H1" s="73" t="s">
        <v>194</v>
      </c>
    </row>
    <row r="2" spans="1:8" x14ac:dyDescent="0.25">
      <c r="A2" s="74"/>
      <c r="B2" s="8"/>
      <c r="C2" s="75"/>
      <c r="D2" s="8"/>
      <c r="E2" s="75"/>
      <c r="F2" s="76"/>
    </row>
    <row r="3" spans="1:8" x14ac:dyDescent="0.25">
      <c r="A3" s="47" t="s">
        <v>13</v>
      </c>
      <c r="B3" s="3">
        <v>1</v>
      </c>
      <c r="C3" s="26" t="s">
        <v>14</v>
      </c>
      <c r="D3" s="5">
        <v>1</v>
      </c>
      <c r="E3" s="25" t="s">
        <v>15</v>
      </c>
    </row>
    <row r="4" spans="1:8" x14ac:dyDescent="0.25">
      <c r="A4" s="47" t="s">
        <v>13</v>
      </c>
      <c r="B4" s="3">
        <v>1</v>
      </c>
      <c r="C4" s="26" t="s">
        <v>14</v>
      </c>
      <c r="D4" s="7">
        <v>2</v>
      </c>
      <c r="E4" s="25" t="s">
        <v>16</v>
      </c>
      <c r="F4" s="28" t="s">
        <v>178</v>
      </c>
      <c r="G4">
        <v>0.56746399999999997</v>
      </c>
      <c r="H4">
        <v>0.50099399999999994</v>
      </c>
    </row>
    <row r="5" spans="1:8" x14ac:dyDescent="0.25">
      <c r="A5" s="47" t="s">
        <v>13</v>
      </c>
      <c r="B5" s="3">
        <v>1</v>
      </c>
      <c r="C5" s="26" t="s">
        <v>14</v>
      </c>
      <c r="D5" s="7">
        <v>3</v>
      </c>
      <c r="E5" s="25" t="s">
        <v>16</v>
      </c>
      <c r="F5" s="29" t="s">
        <v>179</v>
      </c>
      <c r="G5">
        <v>0</v>
      </c>
      <c r="H5">
        <v>0.35540166666666662</v>
      </c>
    </row>
    <row r="6" spans="1:8" x14ac:dyDescent="0.25">
      <c r="A6" s="47" t="s">
        <v>13</v>
      </c>
      <c r="B6" s="3">
        <v>1</v>
      </c>
      <c r="C6" s="26" t="s">
        <v>14</v>
      </c>
      <c r="D6" s="7">
        <v>5</v>
      </c>
      <c r="E6" s="25" t="s">
        <v>16</v>
      </c>
      <c r="F6" s="28" t="s">
        <v>180</v>
      </c>
      <c r="G6">
        <v>0</v>
      </c>
      <c r="H6">
        <v>0</v>
      </c>
    </row>
    <row r="7" spans="1:8" x14ac:dyDescent="0.25">
      <c r="A7" s="47" t="s">
        <v>13</v>
      </c>
      <c r="B7" s="3">
        <v>1</v>
      </c>
      <c r="C7" s="26" t="s">
        <v>14</v>
      </c>
      <c r="D7" s="5">
        <v>6</v>
      </c>
      <c r="E7" s="25" t="s">
        <v>15</v>
      </c>
      <c r="F7" s="30"/>
    </row>
    <row r="8" spans="1:8" x14ac:dyDescent="0.25">
      <c r="A8" s="47" t="s">
        <v>13</v>
      </c>
      <c r="B8" s="3">
        <v>1</v>
      </c>
      <c r="C8" s="26" t="s">
        <v>14</v>
      </c>
      <c r="D8" s="5">
        <v>7</v>
      </c>
      <c r="E8" s="25" t="s">
        <v>15</v>
      </c>
      <c r="F8" s="28"/>
    </row>
    <row r="9" spans="1:8" x14ac:dyDescent="0.25">
      <c r="A9" s="47" t="s">
        <v>13</v>
      </c>
      <c r="B9" s="3">
        <v>2</v>
      </c>
      <c r="C9" s="26" t="s">
        <v>14</v>
      </c>
      <c r="D9" s="7">
        <v>8</v>
      </c>
      <c r="E9" s="25" t="s">
        <v>16</v>
      </c>
      <c r="F9" s="28" t="s">
        <v>181</v>
      </c>
      <c r="G9">
        <v>3.5099999999999992E-2</v>
      </c>
      <c r="H9">
        <v>0</v>
      </c>
    </row>
    <row r="10" spans="1:8" x14ac:dyDescent="0.25">
      <c r="A10" s="47" t="s">
        <v>13</v>
      </c>
      <c r="B10" s="3">
        <v>2</v>
      </c>
      <c r="C10" s="26" t="s">
        <v>14</v>
      </c>
      <c r="D10" s="7">
        <v>9</v>
      </c>
      <c r="E10" s="25" t="s">
        <v>16</v>
      </c>
      <c r="F10" s="28" t="s">
        <v>182</v>
      </c>
      <c r="G10">
        <v>0.23200000000000001</v>
      </c>
      <c r="H10">
        <v>0.22641666666666663</v>
      </c>
    </row>
    <row r="11" spans="1:8" x14ac:dyDescent="0.25">
      <c r="A11" s="47" t="s">
        <v>13</v>
      </c>
      <c r="B11" s="3">
        <v>2</v>
      </c>
      <c r="C11" s="26" t="s">
        <v>14</v>
      </c>
      <c r="D11" s="7">
        <v>10</v>
      </c>
      <c r="E11" s="25" t="s">
        <v>16</v>
      </c>
      <c r="F11" s="28" t="s">
        <v>183</v>
      </c>
      <c r="G11">
        <v>0</v>
      </c>
      <c r="H11">
        <v>0.10541200000000001</v>
      </c>
    </row>
    <row r="12" spans="1:8" x14ac:dyDescent="0.25">
      <c r="A12" s="47" t="s">
        <v>13</v>
      </c>
      <c r="B12" s="3">
        <v>2</v>
      </c>
      <c r="C12" s="26" t="s">
        <v>14</v>
      </c>
      <c r="D12" s="5">
        <v>11</v>
      </c>
      <c r="E12" s="25" t="s">
        <v>15</v>
      </c>
      <c r="F12" s="28"/>
    </row>
    <row r="13" spans="1:8" x14ac:dyDescent="0.25">
      <c r="A13" s="47" t="s">
        <v>13</v>
      </c>
      <c r="B13" s="3">
        <v>2</v>
      </c>
      <c r="C13" s="26" t="s">
        <v>14</v>
      </c>
      <c r="D13" s="5">
        <v>13</v>
      </c>
      <c r="E13" s="25" t="s">
        <v>15</v>
      </c>
      <c r="F13" s="28"/>
    </row>
    <row r="14" spans="1:8" x14ac:dyDescent="0.25">
      <c r="A14" s="47" t="s">
        <v>13</v>
      </c>
      <c r="B14" s="3">
        <v>2</v>
      </c>
      <c r="C14" s="26" t="s">
        <v>14</v>
      </c>
      <c r="D14" s="5">
        <v>14</v>
      </c>
      <c r="E14" s="25" t="s">
        <v>15</v>
      </c>
      <c r="F14" s="28"/>
    </row>
    <row r="15" spans="1:8" x14ac:dyDescent="0.25">
      <c r="A15" s="47" t="s">
        <v>13</v>
      </c>
      <c r="B15" s="3">
        <v>3</v>
      </c>
      <c r="C15" s="31" t="s">
        <v>24</v>
      </c>
      <c r="D15" s="5">
        <v>17</v>
      </c>
      <c r="E15" s="25" t="s">
        <v>15</v>
      </c>
      <c r="F15" s="28"/>
    </row>
    <row r="16" spans="1:8" x14ac:dyDescent="0.25">
      <c r="A16" s="47" t="s">
        <v>13</v>
      </c>
      <c r="B16" s="3">
        <v>3</v>
      </c>
      <c r="C16" s="31" t="s">
        <v>24</v>
      </c>
      <c r="D16" s="7">
        <v>18</v>
      </c>
      <c r="E16" s="25" t="s">
        <v>16</v>
      </c>
      <c r="F16" s="28" t="s">
        <v>184</v>
      </c>
      <c r="G16">
        <v>0.53510333333333326</v>
      </c>
      <c r="H16">
        <v>0.89509933333333325</v>
      </c>
    </row>
    <row r="17" spans="1:8" x14ac:dyDescent="0.25">
      <c r="A17" s="47" t="s">
        <v>13</v>
      </c>
      <c r="B17" s="3">
        <v>3</v>
      </c>
      <c r="C17" s="31" t="s">
        <v>24</v>
      </c>
      <c r="D17" s="7">
        <v>19</v>
      </c>
      <c r="E17" s="25" t="s">
        <v>16</v>
      </c>
      <c r="F17" s="28" t="s">
        <v>185</v>
      </c>
      <c r="G17">
        <v>0.69607333333333332</v>
      </c>
      <c r="H17">
        <v>0</v>
      </c>
    </row>
    <row r="18" spans="1:8" x14ac:dyDescent="0.25">
      <c r="A18" s="47" t="s">
        <v>13</v>
      </c>
      <c r="B18" s="3">
        <v>3</v>
      </c>
      <c r="C18" s="31" t="s">
        <v>24</v>
      </c>
      <c r="D18" s="5">
        <v>20</v>
      </c>
      <c r="E18" s="25" t="s">
        <v>15</v>
      </c>
      <c r="F18" s="28"/>
    </row>
    <row r="19" spans="1:8" x14ac:dyDescent="0.25">
      <c r="A19" s="47" t="s">
        <v>13</v>
      </c>
      <c r="B19" s="3">
        <v>4</v>
      </c>
      <c r="C19" s="31" t="s">
        <v>24</v>
      </c>
      <c r="D19" s="5">
        <v>23</v>
      </c>
      <c r="E19" s="25" t="s">
        <v>15</v>
      </c>
      <c r="F19" s="28"/>
    </row>
    <row r="20" spans="1:8" x14ac:dyDescent="0.25">
      <c r="A20" s="47" t="s">
        <v>13</v>
      </c>
      <c r="B20" s="3">
        <v>4</v>
      </c>
      <c r="C20" s="31" t="s">
        <v>24</v>
      </c>
      <c r="D20" s="7">
        <v>26</v>
      </c>
      <c r="E20" s="25" t="s">
        <v>16</v>
      </c>
      <c r="F20" s="28" t="s">
        <v>186</v>
      </c>
      <c r="G20">
        <v>0.34104000000000001</v>
      </c>
      <c r="H20">
        <v>0.24399999999999999</v>
      </c>
    </row>
    <row r="21" spans="1:8" x14ac:dyDescent="0.25">
      <c r="A21" s="47" t="s">
        <v>13</v>
      </c>
      <c r="B21" s="3">
        <v>4</v>
      </c>
      <c r="C21" s="31" t="s">
        <v>24</v>
      </c>
      <c r="D21" s="7">
        <v>30</v>
      </c>
      <c r="E21" s="25" t="s">
        <v>16</v>
      </c>
      <c r="F21" s="28" t="s">
        <v>187</v>
      </c>
      <c r="G21">
        <v>0.60892666666666673</v>
      </c>
      <c r="H21">
        <v>0.44639999999999996</v>
      </c>
    </row>
    <row r="22" spans="1:8" x14ac:dyDescent="0.25">
      <c r="A22" s="47" t="s">
        <v>13</v>
      </c>
      <c r="B22" s="3">
        <v>4</v>
      </c>
      <c r="C22" s="31" t="s">
        <v>24</v>
      </c>
      <c r="D22" s="5">
        <v>31</v>
      </c>
      <c r="E22" s="25" t="s">
        <v>15</v>
      </c>
      <c r="F22" s="28"/>
    </row>
    <row r="23" spans="1:8" x14ac:dyDescent="0.25">
      <c r="A23" s="47" t="s">
        <v>13</v>
      </c>
      <c r="B23" s="3">
        <v>5</v>
      </c>
      <c r="C23" s="26" t="s">
        <v>14</v>
      </c>
      <c r="D23" s="7">
        <v>36</v>
      </c>
      <c r="E23" s="25" t="s">
        <v>16</v>
      </c>
      <c r="F23" s="28" t="s">
        <v>188</v>
      </c>
      <c r="H23">
        <v>0.25029333333333337</v>
      </c>
    </row>
    <row r="24" spans="1:8" x14ac:dyDescent="0.25">
      <c r="A24" s="47" t="s">
        <v>13</v>
      </c>
      <c r="B24" s="3">
        <v>5</v>
      </c>
      <c r="C24" s="26" t="s">
        <v>14</v>
      </c>
      <c r="D24" s="5">
        <v>37</v>
      </c>
      <c r="E24" s="25" t="s">
        <v>15</v>
      </c>
      <c r="F24" s="28"/>
    </row>
    <row r="25" spans="1:8" x14ac:dyDescent="0.25">
      <c r="A25" s="47" t="s">
        <v>13</v>
      </c>
      <c r="B25" s="3">
        <v>5</v>
      </c>
      <c r="C25" s="26" t="s">
        <v>14</v>
      </c>
      <c r="D25" s="5">
        <v>38</v>
      </c>
      <c r="E25" s="25" t="s">
        <v>15</v>
      </c>
      <c r="F25" s="28"/>
    </row>
    <row r="26" spans="1:8" x14ac:dyDescent="0.25">
      <c r="A26" s="47" t="s">
        <v>13</v>
      </c>
      <c r="B26" s="3">
        <v>5</v>
      </c>
      <c r="C26" s="26" t="s">
        <v>14</v>
      </c>
      <c r="D26" s="7">
        <v>40</v>
      </c>
      <c r="E26" s="25" t="s">
        <v>16</v>
      </c>
      <c r="F26" s="28" t="s">
        <v>189</v>
      </c>
      <c r="G26">
        <v>0</v>
      </c>
      <c r="H26">
        <v>0.17365333333333333</v>
      </c>
    </row>
    <row r="27" spans="1:8" x14ac:dyDescent="0.25">
      <c r="A27" s="47" t="s">
        <v>13</v>
      </c>
      <c r="B27" s="3">
        <v>5</v>
      </c>
      <c r="C27" s="26" t="s">
        <v>14</v>
      </c>
      <c r="D27" s="5">
        <v>43</v>
      </c>
      <c r="E27" s="25" t="s">
        <v>15</v>
      </c>
      <c r="F27" s="28"/>
    </row>
    <row r="28" spans="1:8" x14ac:dyDescent="0.25">
      <c r="A28" s="47" t="s">
        <v>13</v>
      </c>
      <c r="B28" s="3">
        <v>5</v>
      </c>
      <c r="C28" s="26" t="s">
        <v>14</v>
      </c>
      <c r="D28" s="7">
        <v>44</v>
      </c>
      <c r="E28" s="25" t="s">
        <v>16</v>
      </c>
      <c r="F28" s="28" t="s">
        <v>190</v>
      </c>
      <c r="G28">
        <v>0</v>
      </c>
      <c r="H28">
        <v>0</v>
      </c>
    </row>
    <row r="29" spans="1:8" x14ac:dyDescent="0.25">
      <c r="A29" s="47" t="s">
        <v>13</v>
      </c>
      <c r="B29" s="3">
        <v>6</v>
      </c>
      <c r="C29" s="31" t="s">
        <v>24</v>
      </c>
      <c r="D29" s="7">
        <v>47</v>
      </c>
      <c r="E29" s="25" t="s">
        <v>16</v>
      </c>
      <c r="F29" s="28" t="s">
        <v>191</v>
      </c>
      <c r="G29">
        <v>1.9659266666666666</v>
      </c>
      <c r="H29">
        <v>1.7259716666666669</v>
      </c>
    </row>
    <row r="30" spans="1:8" x14ac:dyDescent="0.25">
      <c r="A30" s="47" t="s">
        <v>13</v>
      </c>
      <c r="B30" s="3">
        <v>6</v>
      </c>
      <c r="C30" s="31" t="s">
        <v>24</v>
      </c>
      <c r="D30" s="5">
        <v>51</v>
      </c>
      <c r="E30" s="25" t="s">
        <v>15</v>
      </c>
      <c r="F30" s="28"/>
    </row>
    <row r="31" spans="1:8" x14ac:dyDescent="0.25">
      <c r="A31" s="47" t="s">
        <v>13</v>
      </c>
      <c r="B31" s="3">
        <v>6</v>
      </c>
      <c r="C31" s="31" t="s">
        <v>24</v>
      </c>
      <c r="D31" s="7">
        <v>52</v>
      </c>
      <c r="E31" s="25" t="s">
        <v>16</v>
      </c>
      <c r="F31" s="28" t="s">
        <v>192</v>
      </c>
      <c r="G31">
        <v>0</v>
      </c>
      <c r="H31">
        <v>0.52662033333333336</v>
      </c>
    </row>
    <row r="32" spans="1:8" x14ac:dyDescent="0.25">
      <c r="A32" s="49" t="s">
        <v>13</v>
      </c>
      <c r="B32" s="34">
        <v>6</v>
      </c>
      <c r="C32" s="35" t="s">
        <v>24</v>
      </c>
      <c r="D32" s="36">
        <v>55</v>
      </c>
      <c r="E32" s="33" t="s">
        <v>15</v>
      </c>
      <c r="F32" s="3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2Feb21</vt:lpstr>
      <vt:lpstr>18Marz2021</vt:lpstr>
      <vt:lpstr>1Abr2021</vt:lpstr>
      <vt:lpstr>15Abr2021</vt:lpstr>
      <vt:lpstr>29Abr21</vt:lpstr>
      <vt:lpstr>13May2021</vt:lpstr>
      <vt:lpstr>27May2021</vt:lpstr>
      <vt:lpstr>10Jun2021</vt:lpstr>
      <vt:lpstr>22Jul2021</vt:lpstr>
      <vt:lpstr>10AGOS_FENO</vt:lpstr>
      <vt:lpstr>26Aug21</vt:lpstr>
      <vt:lpstr>9Sep2021</vt:lpstr>
      <vt:lpstr>14Oct2021</vt:lpstr>
      <vt:lpstr>18Nov2021</vt:lpstr>
      <vt:lpstr>16Dic2021</vt:lpstr>
      <vt:lpstr>19Ene22</vt:lpstr>
      <vt:lpstr>8Feb22</vt:lpstr>
      <vt:lpstr>ray_area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</dc:creator>
  <dc:description/>
  <cp:lastModifiedBy>ISMAEL JOAQUIN BORREGUERO VAZQUEZ</cp:lastModifiedBy>
  <cp:revision>44</cp:revision>
  <dcterms:created xsi:type="dcterms:W3CDTF">2024-02-02T10:13:49Z</dcterms:created>
  <dcterms:modified xsi:type="dcterms:W3CDTF">2026-01-20T11:07:59Z</dcterms:modified>
  <dc:language>es-ES</dc:language>
</cp:coreProperties>
</file>